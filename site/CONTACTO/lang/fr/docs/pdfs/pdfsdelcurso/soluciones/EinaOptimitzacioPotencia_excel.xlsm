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AquestLlibreDeTreball" defaultThemeVersion="124226"/>
  <mc:AlternateContent xmlns:mc="http://schemas.openxmlformats.org/markup-compatibility/2006">
    <mc:Choice Requires="x15">
      <x15ac:absPath xmlns:x15ac="http://schemas.microsoft.com/office/spreadsheetml/2010/11/ac" url="I:\17_Projectes_GE\02_Industria\01_Accions_Projectes\2019\10 OPTIMITZACIO POTÈNCIA CONTRACTADA\"/>
    </mc:Choice>
  </mc:AlternateContent>
  <workbookProtection workbookPassword="E005" lockStructure="1"/>
  <bookViews>
    <workbookView xWindow="360" yWindow="150" windowWidth="13395" windowHeight="10965" tabRatio="782" activeTab="1"/>
  </bookViews>
  <sheets>
    <sheet name="Instruccions" sheetId="9" r:id="rId1"/>
    <sheet name="Entrada de dades" sheetId="3" r:id="rId2"/>
    <sheet name="Sortida de resultats" sheetId="8" r:id="rId3"/>
    <sheet name="3.0 creixent" sheetId="1" r:id="rId4"/>
    <sheet name="3.0 òptim" sheetId="4" r:id="rId5"/>
    <sheet name="3.0 creixent P3fix" sheetId="6" r:id="rId6"/>
    <sheet name="3.0 òptim P3fix" sheetId="5" r:id="rId7"/>
    <sheet name="3.1" sheetId="7" r:id="rId8"/>
    <sheet name="3.1 P3fix" sheetId="2" r:id="rId9"/>
  </sheets>
  <definedNames>
    <definedName name="_xlnm.Print_Area" localSheetId="0">Instruccions!$A$1:$K$27</definedName>
    <definedName name="solver_adj" localSheetId="3" hidden="1">'3.0 creixent'!$B$26:$D$26</definedName>
    <definedName name="solver_adj" localSheetId="5" hidden="1">'3.0 creixent P3fix'!$B$26:$D$26</definedName>
    <definedName name="solver_adj" localSheetId="4" hidden="1">'3.0 òptim'!$B$26:$D$26</definedName>
    <definedName name="solver_adj" localSheetId="6" hidden="1">'3.0 òptim P3fix'!$B$26:$D$26</definedName>
    <definedName name="solver_adj" localSheetId="7" hidden="1">'3.1'!$B$26:$D$26</definedName>
    <definedName name="solver_adj" localSheetId="8" hidden="1">'3.1 P3fix'!$B$26:$D$26</definedName>
    <definedName name="solver_cvg" localSheetId="3" hidden="1">0.0001</definedName>
    <definedName name="solver_cvg" localSheetId="5" hidden="1">0.0001</definedName>
    <definedName name="solver_cvg" localSheetId="4" hidden="1">0.0001</definedName>
    <definedName name="solver_cvg" localSheetId="6" hidden="1">0.0001</definedName>
    <definedName name="solver_cvg" localSheetId="7" hidden="1">0.0001</definedName>
    <definedName name="solver_cvg" localSheetId="8" hidden="1">0.0001</definedName>
    <definedName name="solver_drv" localSheetId="3" hidden="1">2</definedName>
    <definedName name="solver_drv" localSheetId="5" hidden="1">2</definedName>
    <definedName name="solver_drv" localSheetId="4" hidden="1">2</definedName>
    <definedName name="solver_drv" localSheetId="6" hidden="1">2</definedName>
    <definedName name="solver_drv" localSheetId="7" hidden="1">2</definedName>
    <definedName name="solver_drv" localSheetId="8" hidden="1">2</definedName>
    <definedName name="solver_eng" localSheetId="3" hidden="1">1</definedName>
    <definedName name="solver_eng" localSheetId="5" hidden="1">1</definedName>
    <definedName name="solver_eng" localSheetId="4" hidden="1">1</definedName>
    <definedName name="solver_eng" localSheetId="6" hidden="1">1</definedName>
    <definedName name="solver_eng" localSheetId="7" hidden="1">1</definedName>
    <definedName name="solver_eng" localSheetId="8" hidden="1">1</definedName>
    <definedName name="solver_eng" localSheetId="1" hidden="1">1</definedName>
    <definedName name="solver_eng" localSheetId="2" hidden="1">1</definedName>
    <definedName name="solver_est" localSheetId="3" hidden="1">1</definedName>
    <definedName name="solver_est" localSheetId="5" hidden="1">1</definedName>
    <definedName name="solver_est" localSheetId="4" hidden="1">1</definedName>
    <definedName name="solver_est" localSheetId="6" hidden="1">1</definedName>
    <definedName name="solver_est" localSheetId="7" hidden="1">1</definedName>
    <definedName name="solver_est" localSheetId="8" hidden="1">1</definedName>
    <definedName name="solver_itr" localSheetId="3" hidden="1">2147483647</definedName>
    <definedName name="solver_itr" localSheetId="5" hidden="1">2147483647</definedName>
    <definedName name="solver_itr" localSheetId="4" hidden="1">2147483647</definedName>
    <definedName name="solver_itr" localSheetId="6" hidden="1">2147483647</definedName>
    <definedName name="solver_itr" localSheetId="7" hidden="1">2147483647</definedName>
    <definedName name="solver_itr" localSheetId="8" hidden="1">2147483647</definedName>
    <definedName name="solver_lhs1" localSheetId="3" hidden="1">'3.0 creixent'!$B$26</definedName>
    <definedName name="solver_lhs1" localSheetId="5" hidden="1">'3.0 creixent P3fix'!$B$26</definedName>
    <definedName name="solver_lhs1" localSheetId="4" hidden="1">'3.0 òptim'!$B$26</definedName>
    <definedName name="solver_lhs1" localSheetId="6" hidden="1">'3.0 òptim P3fix'!$B$26</definedName>
    <definedName name="solver_lhs1" localSheetId="7" hidden="1">'3.1'!$B$26</definedName>
    <definedName name="solver_lhs1" localSheetId="8" hidden="1">'3.1 P3fix'!$B$26</definedName>
    <definedName name="solver_lhs2" localSheetId="3" hidden="1">'3.0 creixent'!$B$26</definedName>
    <definedName name="solver_lhs2" localSheetId="5" hidden="1">'3.0 creixent P3fix'!$B$26</definedName>
    <definedName name="solver_lhs2" localSheetId="4" hidden="1">'3.0 òptim'!$C$26</definedName>
    <definedName name="solver_lhs2" localSheetId="6" hidden="1">'3.0 òptim P3fix'!$C$26</definedName>
    <definedName name="solver_lhs2" localSheetId="7" hidden="1">'3.1'!$C$26</definedName>
    <definedName name="solver_lhs2" localSheetId="8" hidden="1">'3.1 P3fix'!$C$26</definedName>
    <definedName name="solver_lhs3" localSheetId="3" hidden="1">'3.0 creixent'!$C$26</definedName>
    <definedName name="solver_lhs3" localSheetId="5" hidden="1">'3.0 creixent P3fix'!$C$26</definedName>
    <definedName name="solver_lhs3" localSheetId="4" hidden="1">'3.0 òptim'!$D$26</definedName>
    <definedName name="solver_lhs3" localSheetId="6" hidden="1">'3.0 òptim P3fix'!$D$26</definedName>
    <definedName name="solver_lhs3" localSheetId="7" hidden="1">'3.1'!$D$26</definedName>
    <definedName name="solver_lhs3" localSheetId="8" hidden="1">'3.1 P3fix'!$D$26</definedName>
    <definedName name="solver_lhs4" localSheetId="3" hidden="1">'3.0 creixent'!$D$26</definedName>
    <definedName name="solver_lhs4" localSheetId="5" hidden="1">'3.0 creixent P3fix'!$D$26</definedName>
    <definedName name="solver_lhs4" localSheetId="4" hidden="1">'3.0 òptim'!$W$4</definedName>
    <definedName name="solver_lhs4" localSheetId="6" hidden="1">'3.0 òptim P3fix'!$V$4</definedName>
    <definedName name="solver_lhs5" localSheetId="3" hidden="1">'3.0 creixent'!$D$26</definedName>
    <definedName name="solver_lhs5" localSheetId="5" hidden="1">'3.0 creixent P3fix'!$D$26</definedName>
    <definedName name="solver_lhs5" localSheetId="4" hidden="1">'3.0 òptim'!$D$26</definedName>
    <definedName name="solver_lhs5" localSheetId="6" hidden="1">'3.0 òptim P3fix'!$D$26</definedName>
    <definedName name="solver_lhs6" localSheetId="3" hidden="1">'3.0 creixent'!$D$26</definedName>
    <definedName name="solver_lhs7" localSheetId="3" hidden="1">'3.0 creixent'!$D$26</definedName>
    <definedName name="solver_lhs8" localSheetId="3" hidden="1">'3.0 creixent'!$B$26</definedName>
    <definedName name="solver_lhs9" localSheetId="3" hidden="1">'3.0 creixent'!$B$26</definedName>
    <definedName name="solver_lin" localSheetId="3" hidden="1">2</definedName>
    <definedName name="solver_lin" localSheetId="5" hidden="1">2</definedName>
    <definedName name="solver_lin" localSheetId="4" hidden="1">2</definedName>
    <definedName name="solver_lin" localSheetId="6" hidden="1">2</definedName>
    <definedName name="solver_mip" localSheetId="3" hidden="1">2147483647</definedName>
    <definedName name="solver_mip" localSheetId="5" hidden="1">2147483647</definedName>
    <definedName name="solver_mip" localSheetId="4" hidden="1">2147483647</definedName>
    <definedName name="solver_mip" localSheetId="6" hidden="1">2147483647</definedName>
    <definedName name="solver_mip" localSheetId="7" hidden="1">2147483647</definedName>
    <definedName name="solver_mip" localSheetId="8" hidden="1">2147483647</definedName>
    <definedName name="solver_mni" localSheetId="3" hidden="1">30</definedName>
    <definedName name="solver_mni" localSheetId="5" hidden="1">30</definedName>
    <definedName name="solver_mni" localSheetId="4" hidden="1">30</definedName>
    <definedName name="solver_mni" localSheetId="6" hidden="1">30</definedName>
    <definedName name="solver_mni" localSheetId="7" hidden="1">30</definedName>
    <definedName name="solver_mni" localSheetId="8" hidden="1">30</definedName>
    <definedName name="solver_mrt" localSheetId="3" hidden="1">0.075</definedName>
    <definedName name="solver_mrt" localSheetId="5" hidden="1">0.075</definedName>
    <definedName name="solver_mrt" localSheetId="4" hidden="1">0.075</definedName>
    <definedName name="solver_mrt" localSheetId="6" hidden="1">0.075</definedName>
    <definedName name="solver_mrt" localSheetId="7" hidden="1">0.075</definedName>
    <definedName name="solver_mrt" localSheetId="8" hidden="1">0.075</definedName>
    <definedName name="solver_msl" localSheetId="3" hidden="1">2</definedName>
    <definedName name="solver_msl" localSheetId="5" hidden="1">2</definedName>
    <definedName name="solver_msl" localSheetId="4" hidden="1">2</definedName>
    <definedName name="solver_msl" localSheetId="6" hidden="1">2</definedName>
    <definedName name="solver_msl" localSheetId="7" hidden="1">2</definedName>
    <definedName name="solver_msl" localSheetId="8" hidden="1">2</definedName>
    <definedName name="solver_neg" localSheetId="3" hidden="1">1</definedName>
    <definedName name="solver_neg" localSheetId="5" hidden="1">1</definedName>
    <definedName name="solver_neg" localSheetId="4" hidden="1">1</definedName>
    <definedName name="solver_neg" localSheetId="6" hidden="1">1</definedName>
    <definedName name="solver_neg" localSheetId="7" hidden="1">1</definedName>
    <definedName name="solver_neg" localSheetId="8" hidden="1">1</definedName>
    <definedName name="solver_neg" localSheetId="1" hidden="1">1</definedName>
    <definedName name="solver_neg" localSheetId="2" hidden="1">1</definedName>
    <definedName name="solver_nod" localSheetId="3" hidden="1">2147483647</definedName>
    <definedName name="solver_nod" localSheetId="5" hidden="1">2147483647</definedName>
    <definedName name="solver_nod" localSheetId="4" hidden="1">2147483647</definedName>
    <definedName name="solver_nod" localSheetId="6" hidden="1">2147483647</definedName>
    <definedName name="solver_nod" localSheetId="7" hidden="1">2147483647</definedName>
    <definedName name="solver_nod" localSheetId="8" hidden="1">2147483647</definedName>
    <definedName name="solver_num" localSheetId="3" hidden="1">4</definedName>
    <definedName name="solver_num" localSheetId="5" hidden="1">4</definedName>
    <definedName name="solver_num" localSheetId="4" hidden="1">3</definedName>
    <definedName name="solver_num" localSheetId="6" hidden="1">3</definedName>
    <definedName name="solver_num" localSheetId="7" hidden="1">3</definedName>
    <definedName name="solver_num" localSheetId="8" hidden="1">3</definedName>
    <definedName name="solver_num" localSheetId="1" hidden="1">0</definedName>
    <definedName name="solver_num" localSheetId="2" hidden="1">0</definedName>
    <definedName name="solver_nwt" localSheetId="3" hidden="1">1</definedName>
    <definedName name="solver_nwt" localSheetId="5" hidden="1">1</definedName>
    <definedName name="solver_nwt" localSheetId="4" hidden="1">1</definedName>
    <definedName name="solver_nwt" localSheetId="6" hidden="1">1</definedName>
    <definedName name="solver_nwt" localSheetId="7" hidden="1">1</definedName>
    <definedName name="solver_nwt" localSheetId="8" hidden="1">1</definedName>
    <definedName name="solver_opt" localSheetId="3" hidden="1">'3.0 creixent'!$K$44</definedName>
    <definedName name="solver_opt" localSheetId="5" hidden="1">'3.0 creixent P3fix'!$K$44</definedName>
    <definedName name="solver_opt" localSheetId="4" hidden="1">'3.0 òptim'!$K$44</definedName>
    <definedName name="solver_opt" localSheetId="6" hidden="1">'3.0 òptim P3fix'!$K$44</definedName>
    <definedName name="solver_opt" localSheetId="7" hidden="1">'3.1'!$K$44</definedName>
    <definedName name="solver_opt" localSheetId="8" hidden="1">'3.1 P3fix'!$K$44</definedName>
    <definedName name="solver_opt" localSheetId="1" hidden="1">'Entrada de dades'!$F$8</definedName>
    <definedName name="solver_opt" localSheetId="2" hidden="1">'Sortida de resultats'!$N$58</definedName>
    <definedName name="solver_pre" localSheetId="3" hidden="1">0.000001</definedName>
    <definedName name="solver_pre" localSheetId="5" hidden="1">0.000001</definedName>
    <definedName name="solver_pre" localSheetId="4" hidden="1">0.000001</definedName>
    <definedName name="solver_pre" localSheetId="6" hidden="1">0.000001</definedName>
    <definedName name="solver_pre" localSheetId="7" hidden="1">0.000001</definedName>
    <definedName name="solver_pre" localSheetId="8" hidden="1">0.000001</definedName>
    <definedName name="solver_rbv" localSheetId="3" hidden="1">2</definedName>
    <definedName name="solver_rbv" localSheetId="5" hidden="1">2</definedName>
    <definedName name="solver_rbv" localSheetId="4" hidden="1">2</definedName>
    <definedName name="solver_rbv" localSheetId="6" hidden="1">2</definedName>
    <definedName name="solver_rbv" localSheetId="7" hidden="1">2</definedName>
    <definedName name="solver_rbv" localSheetId="8" hidden="1">2</definedName>
    <definedName name="solver_rel1" localSheetId="3" hidden="1">1</definedName>
    <definedName name="solver_rel1" localSheetId="5" hidden="1">1</definedName>
    <definedName name="solver_rel1" localSheetId="4" hidden="1">3</definedName>
    <definedName name="solver_rel1" localSheetId="6" hidden="1">3</definedName>
    <definedName name="solver_rel1" localSheetId="7" hidden="1">1</definedName>
    <definedName name="solver_rel1" localSheetId="8" hidden="1">1</definedName>
    <definedName name="solver_rel2" localSheetId="3" hidden="1">3</definedName>
    <definedName name="solver_rel2" localSheetId="5" hidden="1">3</definedName>
    <definedName name="solver_rel2" localSheetId="4" hidden="1">3</definedName>
    <definedName name="solver_rel2" localSheetId="6" hidden="1">3</definedName>
    <definedName name="solver_rel2" localSheetId="7" hidden="1">1</definedName>
    <definedName name="solver_rel2" localSheetId="8" hidden="1">1</definedName>
    <definedName name="solver_rel3" localSheetId="3" hidden="1">1</definedName>
    <definedName name="solver_rel3" localSheetId="5" hidden="1">1</definedName>
    <definedName name="solver_rel3" localSheetId="4" hidden="1">3</definedName>
    <definedName name="solver_rel3" localSheetId="6" hidden="1">2</definedName>
    <definedName name="solver_rel3" localSheetId="7" hidden="1">3</definedName>
    <definedName name="solver_rel3" localSheetId="8" hidden="1">2</definedName>
    <definedName name="solver_rel4" localSheetId="3" hidden="1">3</definedName>
    <definedName name="solver_rel4" localSheetId="5" hidden="1">2</definedName>
    <definedName name="solver_rel4" localSheetId="4" hidden="1">2</definedName>
    <definedName name="solver_rel4" localSheetId="6" hidden="1">2</definedName>
    <definedName name="solver_rel5" localSheetId="3" hidden="1">3</definedName>
    <definedName name="solver_rel5" localSheetId="5" hidden="1">2</definedName>
    <definedName name="solver_rel5" localSheetId="4" hidden="1">3</definedName>
    <definedName name="solver_rel5" localSheetId="6" hidden="1">3</definedName>
    <definedName name="solver_rel6" localSheetId="3" hidden="1">3</definedName>
    <definedName name="solver_rel7" localSheetId="3" hidden="1">3</definedName>
    <definedName name="solver_rel8" localSheetId="3" hidden="1">1</definedName>
    <definedName name="solver_rel9" localSheetId="3" hidden="1">1</definedName>
    <definedName name="solver_rhs1" localSheetId="3" hidden="1">'3.0 creixent'!$C$26</definedName>
    <definedName name="solver_rhs1" localSheetId="5" hidden="1">'3.0 creixent P3fix'!$C$26</definedName>
    <definedName name="solver_rhs1" localSheetId="4" hidden="1">1</definedName>
    <definedName name="solver_rhs1" localSheetId="6" hidden="1">1</definedName>
    <definedName name="solver_rhs1" localSheetId="7" hidden="1">'3.1'!$C$26</definedName>
    <definedName name="solver_rhs1" localSheetId="8" hidden="1">'3.1 P3fix'!$C$26</definedName>
    <definedName name="solver_rhs2" localSheetId="3" hidden="1">1</definedName>
    <definedName name="solver_rhs2" localSheetId="5" hidden="1">1</definedName>
    <definedName name="solver_rhs2" localSheetId="4" hidden="1">1</definedName>
    <definedName name="solver_rhs2" localSheetId="6" hidden="1">1</definedName>
    <definedName name="solver_rhs2" localSheetId="7" hidden="1">'3.1'!$D$26</definedName>
    <definedName name="solver_rhs2" localSheetId="8" hidden="1">'3.1 P3fix'!$D$26</definedName>
    <definedName name="solver_rhs3" localSheetId="3" hidden="1">'3.0 creixent'!$D$26</definedName>
    <definedName name="solver_rhs3" localSheetId="5" hidden="1">'3.0 creixent P3fix'!$D$26</definedName>
    <definedName name="solver_rhs3" localSheetId="4" hidden="1">15.1</definedName>
    <definedName name="solver_rhs3" localSheetId="6" hidden="1">'3.0 òptim P3fix'!$D$5</definedName>
    <definedName name="solver_rhs3" localSheetId="7" hidden="1">15.1</definedName>
    <definedName name="solver_rhs3" localSheetId="8" hidden="1">'3.1 P3fix'!$D$5</definedName>
    <definedName name="solver_rhs4" localSheetId="3" hidden="1">15.1</definedName>
    <definedName name="solver_rhs4" localSheetId="5" hidden="1">'3.0 creixent P3fix'!$D$5</definedName>
    <definedName name="solver_rhs4" localSheetId="4" hidden="1">1</definedName>
    <definedName name="solver_rhs4" localSheetId="6" hidden="1">1</definedName>
    <definedName name="solver_rhs5" localSheetId="3" hidden="1">15.1</definedName>
    <definedName name="solver_rhs5" localSheetId="5" hidden="1">'Entrada de dades'!$E$11</definedName>
    <definedName name="solver_rhs5" localSheetId="4" hidden="1">15.1</definedName>
    <definedName name="solver_rhs5" localSheetId="6" hidden="1">15.1</definedName>
    <definedName name="solver_rhs6" localSheetId="3" hidden="1">15.1</definedName>
    <definedName name="solver_rhs7" localSheetId="3" hidden="1">15.1</definedName>
    <definedName name="solver_rhs8" localSheetId="3" hidden="1">'3.0 creixent'!$C$26</definedName>
    <definedName name="solver_rhs9" localSheetId="3" hidden="1">'3.0 creixent'!$C$26</definedName>
    <definedName name="solver_rlx" localSheetId="3" hidden="1">2</definedName>
    <definedName name="solver_rlx" localSheetId="5" hidden="1">2</definedName>
    <definedName name="solver_rlx" localSheetId="4" hidden="1">2</definedName>
    <definedName name="solver_rlx" localSheetId="6" hidden="1">2</definedName>
    <definedName name="solver_rlx" localSheetId="7" hidden="1">2</definedName>
    <definedName name="solver_rlx" localSheetId="8" hidden="1">2</definedName>
    <definedName name="solver_rsd" localSheetId="3" hidden="1">0</definedName>
    <definedName name="solver_rsd" localSheetId="5" hidden="1">0</definedName>
    <definedName name="solver_rsd" localSheetId="4" hidden="1">0</definedName>
    <definedName name="solver_rsd" localSheetId="6" hidden="1">0</definedName>
    <definedName name="solver_rsd" localSheetId="7" hidden="1">0</definedName>
    <definedName name="solver_rsd" localSheetId="8" hidden="1">0</definedName>
    <definedName name="solver_scl" localSheetId="3" hidden="1">2</definedName>
    <definedName name="solver_scl" localSheetId="5" hidden="1">2</definedName>
    <definedName name="solver_scl" localSheetId="4" hidden="1">2</definedName>
    <definedName name="solver_scl" localSheetId="6" hidden="1">2</definedName>
    <definedName name="solver_scl" localSheetId="7" hidden="1">2</definedName>
    <definedName name="solver_scl" localSheetId="8" hidden="1">2</definedName>
    <definedName name="solver_sho" localSheetId="3" hidden="1">2</definedName>
    <definedName name="solver_sho" localSheetId="5" hidden="1">2</definedName>
    <definedName name="solver_sho" localSheetId="4" hidden="1">2</definedName>
    <definedName name="solver_sho" localSheetId="6" hidden="1">2</definedName>
    <definedName name="solver_sho" localSheetId="7" hidden="1">2</definedName>
    <definedName name="solver_sho" localSheetId="8" hidden="1">2</definedName>
    <definedName name="solver_ssz" localSheetId="3" hidden="1">100</definedName>
    <definedName name="solver_ssz" localSheetId="5" hidden="1">100</definedName>
    <definedName name="solver_ssz" localSheetId="4" hidden="1">100</definedName>
    <definedName name="solver_ssz" localSheetId="6" hidden="1">100</definedName>
    <definedName name="solver_ssz" localSheetId="7" hidden="1">100</definedName>
    <definedName name="solver_ssz" localSheetId="8" hidden="1">100</definedName>
    <definedName name="solver_tim" localSheetId="3" hidden="1">2147483647</definedName>
    <definedName name="solver_tim" localSheetId="5" hidden="1">2147483647</definedName>
    <definedName name="solver_tim" localSheetId="4" hidden="1">2147483647</definedName>
    <definedName name="solver_tim" localSheetId="6" hidden="1">2147483647</definedName>
    <definedName name="solver_tim" localSheetId="7" hidden="1">2147483647</definedName>
    <definedName name="solver_tim" localSheetId="8" hidden="1">2147483647</definedName>
    <definedName name="solver_tol" localSheetId="3" hidden="1">0.01</definedName>
    <definedName name="solver_tol" localSheetId="5" hidden="1">0.01</definedName>
    <definedName name="solver_tol" localSheetId="4" hidden="1">0.01</definedName>
    <definedName name="solver_tol" localSheetId="6" hidden="1">0.01</definedName>
    <definedName name="solver_tol" localSheetId="7" hidden="1">0.01</definedName>
    <definedName name="solver_tol" localSheetId="8" hidden="1">0.01</definedName>
    <definedName name="solver_typ" localSheetId="3" hidden="1">1</definedName>
    <definedName name="solver_typ" localSheetId="5" hidden="1">1</definedName>
    <definedName name="solver_typ" localSheetId="4" hidden="1">1</definedName>
    <definedName name="solver_typ" localSheetId="6" hidden="1">1</definedName>
    <definedName name="solver_typ" localSheetId="7" hidden="1">1</definedName>
    <definedName name="solver_typ" localSheetId="8" hidden="1">1</definedName>
    <definedName name="solver_typ" localSheetId="1" hidden="1">1</definedName>
    <definedName name="solver_typ" localSheetId="2" hidden="1">1</definedName>
    <definedName name="solver_val" localSheetId="3" hidden="1">0</definedName>
    <definedName name="solver_val" localSheetId="5" hidden="1">0</definedName>
    <definedName name="solver_val" localSheetId="4" hidden="1">0</definedName>
    <definedName name="solver_val" localSheetId="6" hidden="1">0</definedName>
    <definedName name="solver_val" localSheetId="7" hidden="1">0</definedName>
    <definedName name="solver_val" localSheetId="8" hidden="1">0</definedName>
    <definedName name="solver_val" localSheetId="1" hidden="1">0</definedName>
    <definedName name="solver_val" localSheetId="2" hidden="1">0</definedName>
    <definedName name="solver_ver" localSheetId="3" hidden="1">3</definedName>
    <definedName name="solver_ver" localSheetId="5" hidden="1">3</definedName>
    <definedName name="solver_ver" localSheetId="4" hidden="1">3</definedName>
    <definedName name="solver_ver" localSheetId="6" hidden="1">3</definedName>
    <definedName name="solver_ver" localSheetId="7" hidden="1">3</definedName>
    <definedName name="solver_ver" localSheetId="8" hidden="1">3</definedName>
    <definedName name="solver_ver" localSheetId="1" hidden="1">3</definedName>
    <definedName name="solver_ver" localSheetId="2" hidden="1">3</definedName>
  </definedNames>
  <calcPr calcId="162913"/>
</workbook>
</file>

<file path=xl/calcChain.xml><?xml version="1.0" encoding="utf-8"?>
<calcChain xmlns="http://schemas.openxmlformats.org/spreadsheetml/2006/main">
  <c r="C32" i="3" l="1"/>
  <c r="H2" i="8" l="1"/>
  <c r="B53" i="8" l="1"/>
  <c r="D53" i="8"/>
  <c r="C54" i="8"/>
  <c r="C53" i="8"/>
  <c r="B54" i="8"/>
  <c r="D54" i="8"/>
  <c r="B52" i="8"/>
  <c r="C52" i="8"/>
  <c r="D52" i="8"/>
  <c r="B55" i="8"/>
  <c r="C55" i="8"/>
  <c r="D55" i="8"/>
  <c r="S8" i="8"/>
  <c r="I5" i="2"/>
  <c r="I26" i="2" s="1"/>
  <c r="J5" i="2"/>
  <c r="J26" i="2" s="1"/>
  <c r="H5" i="2"/>
  <c r="H26" i="2" s="1"/>
  <c r="I5" i="7"/>
  <c r="I26" i="7" s="1"/>
  <c r="J5" i="7"/>
  <c r="J26" i="7" s="1"/>
  <c r="H5" i="7"/>
  <c r="H26" i="7" s="1"/>
  <c r="I5" i="5"/>
  <c r="J5" i="5"/>
  <c r="H5" i="5"/>
  <c r="H26" i="5" s="1"/>
  <c r="I5" i="6"/>
  <c r="J5" i="6"/>
  <c r="H5" i="6"/>
  <c r="I5" i="4"/>
  <c r="J5" i="4"/>
  <c r="H5" i="4"/>
  <c r="I5" i="1"/>
  <c r="J5" i="1"/>
  <c r="H5" i="1"/>
  <c r="P27" i="3" l="1"/>
  <c r="O27" i="3"/>
  <c r="N27" i="3"/>
  <c r="P26" i="3"/>
  <c r="O26" i="3"/>
  <c r="N26" i="3"/>
  <c r="P25" i="3"/>
  <c r="O25" i="3"/>
  <c r="N25" i="3"/>
  <c r="P24" i="3"/>
  <c r="O24" i="3"/>
  <c r="N24" i="3"/>
  <c r="P23" i="3"/>
  <c r="O23" i="3"/>
  <c r="N23" i="3"/>
  <c r="P22" i="3"/>
  <c r="O22" i="3"/>
  <c r="N22" i="3"/>
  <c r="P21" i="3"/>
  <c r="O21" i="3"/>
  <c r="N21" i="3"/>
  <c r="P20" i="3"/>
  <c r="O20" i="3"/>
  <c r="N20" i="3"/>
  <c r="P19" i="3"/>
  <c r="O19" i="3"/>
  <c r="N19" i="3"/>
  <c r="P18" i="3"/>
  <c r="O18" i="3"/>
  <c r="N18" i="3"/>
  <c r="P17" i="3"/>
  <c r="O17" i="3"/>
  <c r="N17" i="3"/>
  <c r="P16" i="3"/>
  <c r="O16" i="3"/>
  <c r="N16" i="3"/>
  <c r="C8" i="5" l="1"/>
  <c r="C9" i="5"/>
  <c r="C10" i="5"/>
  <c r="C11" i="5"/>
  <c r="C32" i="5" s="1"/>
  <c r="F32" i="5" s="1"/>
  <c r="J82" i="8"/>
  <c r="G82" i="8"/>
  <c r="F82" i="8"/>
  <c r="E82" i="8"/>
  <c r="J81" i="8"/>
  <c r="G81" i="8"/>
  <c r="F81" i="8"/>
  <c r="E81" i="8"/>
  <c r="J73" i="8"/>
  <c r="J55" i="8" s="1"/>
  <c r="G73" i="8"/>
  <c r="G55" i="8" s="1"/>
  <c r="F73" i="8"/>
  <c r="F55" i="8" s="1"/>
  <c r="E73" i="8"/>
  <c r="E55" i="8" s="1"/>
  <c r="J72" i="8"/>
  <c r="J54" i="8" s="1"/>
  <c r="G72" i="8"/>
  <c r="G54" i="8" s="1"/>
  <c r="F72" i="8"/>
  <c r="F54" i="8" s="1"/>
  <c r="E72" i="8"/>
  <c r="E54" i="8" s="1"/>
  <c r="J71" i="8"/>
  <c r="G71" i="8"/>
  <c r="G53" i="8" s="1"/>
  <c r="F71" i="8"/>
  <c r="F53" i="8" s="1"/>
  <c r="E71" i="8"/>
  <c r="J70" i="8"/>
  <c r="G70" i="8"/>
  <c r="F70" i="8"/>
  <c r="F52" i="8" s="1"/>
  <c r="E70" i="8"/>
  <c r="E52" i="8" s="1"/>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19" i="7"/>
  <c r="C19" i="7"/>
  <c r="C40" i="7" s="1"/>
  <c r="F40" i="7" s="1"/>
  <c r="I40" i="7" s="1"/>
  <c r="B19" i="7"/>
  <c r="B40" i="7" s="1"/>
  <c r="E40" i="7" s="1"/>
  <c r="H40" i="7" s="1"/>
  <c r="D18" i="7"/>
  <c r="D39" i="7" s="1"/>
  <c r="G39" i="7" s="1"/>
  <c r="J39" i="7" s="1"/>
  <c r="C18" i="7"/>
  <c r="C39" i="7" s="1"/>
  <c r="F39" i="7" s="1"/>
  <c r="I39" i="7" s="1"/>
  <c r="B18" i="7"/>
  <c r="B39" i="7" s="1"/>
  <c r="E39" i="7" s="1"/>
  <c r="H39" i="7" s="1"/>
  <c r="D17" i="7"/>
  <c r="D38" i="7" s="1"/>
  <c r="G38" i="7" s="1"/>
  <c r="J38" i="7" s="1"/>
  <c r="C17" i="7"/>
  <c r="C38" i="7" s="1"/>
  <c r="F38" i="7" s="1"/>
  <c r="I38" i="7" s="1"/>
  <c r="B17" i="7"/>
  <c r="B38" i="7" s="1"/>
  <c r="E38" i="7" s="1"/>
  <c r="H38" i="7" s="1"/>
  <c r="D16" i="7"/>
  <c r="C16" i="7"/>
  <c r="C37" i="7" s="1"/>
  <c r="F37" i="7" s="1"/>
  <c r="I37" i="7" s="1"/>
  <c r="B16" i="7"/>
  <c r="B37" i="7" s="1"/>
  <c r="E37" i="7" s="1"/>
  <c r="H37" i="7" s="1"/>
  <c r="D15" i="7"/>
  <c r="D36" i="7" s="1"/>
  <c r="G36" i="7" s="1"/>
  <c r="J36" i="7" s="1"/>
  <c r="C15" i="7"/>
  <c r="C36" i="7" s="1"/>
  <c r="F36" i="7" s="1"/>
  <c r="I36" i="7" s="1"/>
  <c r="B15" i="7"/>
  <c r="B36" i="7" s="1"/>
  <c r="E36" i="7" s="1"/>
  <c r="H36" i="7" s="1"/>
  <c r="D14" i="7"/>
  <c r="D35" i="7" s="1"/>
  <c r="G35" i="7" s="1"/>
  <c r="J35" i="7" s="1"/>
  <c r="C14" i="7"/>
  <c r="C35" i="7" s="1"/>
  <c r="F35" i="7" s="1"/>
  <c r="I35" i="7" s="1"/>
  <c r="B14" i="7"/>
  <c r="D13" i="7"/>
  <c r="D34" i="7" s="1"/>
  <c r="G34" i="7" s="1"/>
  <c r="J34" i="7" s="1"/>
  <c r="C13" i="7"/>
  <c r="C34" i="7" s="1"/>
  <c r="F34" i="7" s="1"/>
  <c r="I34" i="7" s="1"/>
  <c r="B13" i="7"/>
  <c r="D12" i="7"/>
  <c r="D33" i="7" s="1"/>
  <c r="G33" i="7" s="1"/>
  <c r="J33" i="7" s="1"/>
  <c r="C12" i="7"/>
  <c r="C33" i="7" s="1"/>
  <c r="F33" i="7" s="1"/>
  <c r="I33" i="7" s="1"/>
  <c r="B12" i="7"/>
  <c r="B33" i="7" s="1"/>
  <c r="E33" i="7" s="1"/>
  <c r="H33" i="7" s="1"/>
  <c r="D11" i="7"/>
  <c r="D32" i="7" s="1"/>
  <c r="G32" i="7" s="1"/>
  <c r="J32" i="7" s="1"/>
  <c r="C11" i="7"/>
  <c r="C32" i="7" s="1"/>
  <c r="F32" i="7" s="1"/>
  <c r="I32" i="7" s="1"/>
  <c r="B11" i="7"/>
  <c r="B32" i="7" s="1"/>
  <c r="E32" i="7" s="1"/>
  <c r="H32" i="7" s="1"/>
  <c r="D10" i="7"/>
  <c r="D31" i="7" s="1"/>
  <c r="G31" i="7" s="1"/>
  <c r="J31" i="7" s="1"/>
  <c r="C10" i="7"/>
  <c r="C31" i="7" s="1"/>
  <c r="F31" i="7" s="1"/>
  <c r="I31" i="7" s="1"/>
  <c r="B10" i="7"/>
  <c r="B31" i="7" s="1"/>
  <c r="E31" i="7" s="1"/>
  <c r="H31" i="7" s="1"/>
  <c r="D9" i="7"/>
  <c r="D30" i="7" s="1"/>
  <c r="G30" i="7" s="1"/>
  <c r="J30" i="7" s="1"/>
  <c r="C9" i="7"/>
  <c r="C30" i="7" s="1"/>
  <c r="F30" i="7" s="1"/>
  <c r="I30" i="7" s="1"/>
  <c r="B9" i="7"/>
  <c r="D8" i="7"/>
  <c r="C8" i="7"/>
  <c r="C29" i="7" s="1"/>
  <c r="F29" i="7" s="1"/>
  <c r="I29" i="7" s="1"/>
  <c r="B8" i="7"/>
  <c r="B29" i="7" s="1"/>
  <c r="E29" i="7" s="1"/>
  <c r="H29" i="7" s="1"/>
  <c r="E32" i="3"/>
  <c r="D32" i="3"/>
  <c r="D40" i="7"/>
  <c r="G40" i="7" s="1"/>
  <c r="J40" i="7" s="1"/>
  <c r="D37" i="7"/>
  <c r="G37" i="7" s="1"/>
  <c r="J37" i="7" s="1"/>
  <c r="B35" i="7"/>
  <c r="E35" i="7" s="1"/>
  <c r="H35" i="7" s="1"/>
  <c r="B34" i="7"/>
  <c r="E34" i="7" s="1"/>
  <c r="H34" i="7" s="1"/>
  <c r="B30" i="7"/>
  <c r="E30" i="7" s="1"/>
  <c r="H30" i="7" s="1"/>
  <c r="D29" i="7"/>
  <c r="G29" i="7" s="1"/>
  <c r="J29" i="7" s="1"/>
  <c r="D5" i="7"/>
  <c r="C5" i="7"/>
  <c r="B5" i="7"/>
  <c r="D19" i="5"/>
  <c r="C19" i="5"/>
  <c r="C40" i="5" s="1"/>
  <c r="F40" i="5" s="1"/>
  <c r="B19" i="5"/>
  <c r="D18" i="5"/>
  <c r="C18" i="5"/>
  <c r="C39" i="5" s="1"/>
  <c r="F39" i="5" s="1"/>
  <c r="B18" i="5"/>
  <c r="D17" i="5"/>
  <c r="C17" i="5"/>
  <c r="C38" i="5" s="1"/>
  <c r="F38" i="5" s="1"/>
  <c r="B17" i="5"/>
  <c r="D16" i="5"/>
  <c r="C16" i="5"/>
  <c r="C37" i="5" s="1"/>
  <c r="F37" i="5" s="1"/>
  <c r="B16" i="5"/>
  <c r="D15" i="5"/>
  <c r="C15" i="5"/>
  <c r="C36" i="5" s="1"/>
  <c r="F36" i="5" s="1"/>
  <c r="B15" i="5"/>
  <c r="D14" i="5"/>
  <c r="D35" i="5" s="1"/>
  <c r="G35" i="5" s="1"/>
  <c r="C14" i="5"/>
  <c r="C35" i="5" s="1"/>
  <c r="F35" i="5" s="1"/>
  <c r="B14" i="5"/>
  <c r="B35" i="5" s="1"/>
  <c r="E35" i="5" s="1"/>
  <c r="D13" i="5"/>
  <c r="D34" i="5" s="1"/>
  <c r="G34" i="5" s="1"/>
  <c r="C13" i="5"/>
  <c r="C34" i="5" s="1"/>
  <c r="F34" i="5" s="1"/>
  <c r="B13" i="5"/>
  <c r="B34" i="5" s="1"/>
  <c r="E34" i="5" s="1"/>
  <c r="D12" i="5"/>
  <c r="D33" i="5" s="1"/>
  <c r="G33" i="5" s="1"/>
  <c r="C12" i="5"/>
  <c r="C33" i="5" s="1"/>
  <c r="F33" i="5" s="1"/>
  <c r="B12" i="5"/>
  <c r="B33" i="5" s="1"/>
  <c r="E33" i="5" s="1"/>
  <c r="D11" i="5"/>
  <c r="D32" i="5" s="1"/>
  <c r="G32" i="5" s="1"/>
  <c r="B11" i="5"/>
  <c r="B32" i="5" s="1"/>
  <c r="E32" i="5" s="1"/>
  <c r="D10" i="5"/>
  <c r="D31" i="5" s="1"/>
  <c r="G31" i="5" s="1"/>
  <c r="B10" i="5"/>
  <c r="B31" i="5" s="1"/>
  <c r="E31" i="5" s="1"/>
  <c r="D9" i="5"/>
  <c r="D30" i="5" s="1"/>
  <c r="G30" i="5" s="1"/>
  <c r="B9" i="5"/>
  <c r="B30" i="5" s="1"/>
  <c r="E30" i="5" s="1"/>
  <c r="D8" i="5"/>
  <c r="D29" i="5" s="1"/>
  <c r="G29" i="5" s="1"/>
  <c r="B8" i="5"/>
  <c r="B29" i="5" s="1"/>
  <c r="E29" i="5" s="1"/>
  <c r="D19" i="6"/>
  <c r="C19" i="6"/>
  <c r="C40" i="6" s="1"/>
  <c r="F40" i="6" s="1"/>
  <c r="B19" i="6"/>
  <c r="D18" i="6"/>
  <c r="D39" i="6" s="1"/>
  <c r="G39" i="6" s="1"/>
  <c r="C18" i="6"/>
  <c r="C39" i="6" s="1"/>
  <c r="F39" i="6" s="1"/>
  <c r="B18" i="6"/>
  <c r="B39" i="6" s="1"/>
  <c r="E39" i="6" s="1"/>
  <c r="D17" i="6"/>
  <c r="D38" i="6" s="1"/>
  <c r="G38" i="6" s="1"/>
  <c r="C17" i="6"/>
  <c r="C38" i="6" s="1"/>
  <c r="F38" i="6" s="1"/>
  <c r="B17" i="6"/>
  <c r="B38" i="6" s="1"/>
  <c r="E38" i="6" s="1"/>
  <c r="D16" i="6"/>
  <c r="D37" i="6" s="1"/>
  <c r="G37" i="6" s="1"/>
  <c r="C16" i="6"/>
  <c r="C37" i="6" s="1"/>
  <c r="F37" i="6" s="1"/>
  <c r="B16" i="6"/>
  <c r="B37" i="6" s="1"/>
  <c r="E37" i="6" s="1"/>
  <c r="D15" i="6"/>
  <c r="D36" i="6" s="1"/>
  <c r="G36" i="6" s="1"/>
  <c r="C15" i="6"/>
  <c r="C36" i="6" s="1"/>
  <c r="F36" i="6" s="1"/>
  <c r="B15" i="6"/>
  <c r="B36" i="6" s="1"/>
  <c r="E36" i="6" s="1"/>
  <c r="D14" i="6"/>
  <c r="D35" i="6" s="1"/>
  <c r="G35" i="6" s="1"/>
  <c r="C14" i="6"/>
  <c r="B14" i="6"/>
  <c r="B35" i="6" s="1"/>
  <c r="E35" i="6" s="1"/>
  <c r="D13" i="6"/>
  <c r="D34" i="6" s="1"/>
  <c r="G34" i="6" s="1"/>
  <c r="C13" i="6"/>
  <c r="B13" i="6"/>
  <c r="B34" i="6" s="1"/>
  <c r="E34" i="6" s="1"/>
  <c r="D12" i="6"/>
  <c r="D33" i="6" s="1"/>
  <c r="G33" i="6" s="1"/>
  <c r="C12" i="6"/>
  <c r="C33" i="6" s="1"/>
  <c r="F33" i="6" s="1"/>
  <c r="B12" i="6"/>
  <c r="B33" i="6" s="1"/>
  <c r="E33" i="6" s="1"/>
  <c r="D11" i="6"/>
  <c r="D32" i="6" s="1"/>
  <c r="G32" i="6" s="1"/>
  <c r="C11" i="6"/>
  <c r="C32" i="6" s="1"/>
  <c r="F32" i="6" s="1"/>
  <c r="B11" i="6"/>
  <c r="B32" i="6" s="1"/>
  <c r="E32" i="6" s="1"/>
  <c r="D10" i="6"/>
  <c r="D31" i="6" s="1"/>
  <c r="G31" i="6" s="1"/>
  <c r="C10" i="6"/>
  <c r="C31" i="6" s="1"/>
  <c r="F31" i="6" s="1"/>
  <c r="B10" i="6"/>
  <c r="B31" i="6" s="1"/>
  <c r="E31" i="6" s="1"/>
  <c r="D9" i="6"/>
  <c r="D30" i="6" s="1"/>
  <c r="G30" i="6" s="1"/>
  <c r="C9" i="6"/>
  <c r="C30" i="6" s="1"/>
  <c r="F30" i="6" s="1"/>
  <c r="B9" i="6"/>
  <c r="B30" i="6" s="1"/>
  <c r="E30" i="6" s="1"/>
  <c r="D8" i="6"/>
  <c r="D29" i="6" s="1"/>
  <c r="G29" i="6" s="1"/>
  <c r="C8" i="6"/>
  <c r="C29" i="6" s="1"/>
  <c r="F29" i="6" s="1"/>
  <c r="B8" i="6"/>
  <c r="B29" i="6" s="1"/>
  <c r="E29" i="6" s="1"/>
  <c r="D5" i="6"/>
  <c r="C5" i="6"/>
  <c r="B5" i="6"/>
  <c r="C31" i="5"/>
  <c r="F31" i="5" s="1"/>
  <c r="C30" i="5"/>
  <c r="F30" i="5" s="1"/>
  <c r="C29" i="5"/>
  <c r="F29" i="5" s="1"/>
  <c r="D5" i="5"/>
  <c r="C5" i="5"/>
  <c r="B5" i="5"/>
  <c r="D19" i="4"/>
  <c r="C19" i="4"/>
  <c r="C40" i="4" s="1"/>
  <c r="F40" i="4" s="1"/>
  <c r="B19" i="4"/>
  <c r="D18" i="4"/>
  <c r="C18" i="4"/>
  <c r="C39" i="4" s="1"/>
  <c r="F39" i="4" s="1"/>
  <c r="B18" i="4"/>
  <c r="D17" i="4"/>
  <c r="C17" i="4"/>
  <c r="C38" i="4" s="1"/>
  <c r="F38" i="4" s="1"/>
  <c r="B17" i="4"/>
  <c r="D16" i="4"/>
  <c r="C16" i="4"/>
  <c r="C37" i="4" s="1"/>
  <c r="F37" i="4" s="1"/>
  <c r="B16" i="4"/>
  <c r="D15" i="4"/>
  <c r="C15" i="4"/>
  <c r="C36" i="4" s="1"/>
  <c r="F36" i="4" s="1"/>
  <c r="B15" i="4"/>
  <c r="D14" i="4"/>
  <c r="D35" i="4" s="1"/>
  <c r="G35" i="4" s="1"/>
  <c r="C14" i="4"/>
  <c r="C35" i="4" s="1"/>
  <c r="F35" i="4" s="1"/>
  <c r="B14" i="4"/>
  <c r="B35" i="4" s="1"/>
  <c r="E35" i="4" s="1"/>
  <c r="D13" i="4"/>
  <c r="D34" i="4" s="1"/>
  <c r="G34" i="4" s="1"/>
  <c r="C13" i="4"/>
  <c r="C34" i="4" s="1"/>
  <c r="F34" i="4" s="1"/>
  <c r="B13" i="4"/>
  <c r="B34" i="4" s="1"/>
  <c r="E34" i="4" s="1"/>
  <c r="D12" i="4"/>
  <c r="D33" i="4" s="1"/>
  <c r="G33" i="4" s="1"/>
  <c r="C12" i="4"/>
  <c r="C33" i="4" s="1"/>
  <c r="F33" i="4" s="1"/>
  <c r="B12" i="4"/>
  <c r="B33" i="4" s="1"/>
  <c r="E33" i="4" s="1"/>
  <c r="D11" i="4"/>
  <c r="D32" i="4" s="1"/>
  <c r="G32" i="4" s="1"/>
  <c r="C11" i="4"/>
  <c r="C32" i="4" s="1"/>
  <c r="F32" i="4" s="1"/>
  <c r="B11" i="4"/>
  <c r="B32" i="4" s="1"/>
  <c r="E32" i="4" s="1"/>
  <c r="D10" i="4"/>
  <c r="D31" i="4" s="1"/>
  <c r="G31" i="4" s="1"/>
  <c r="C10" i="4"/>
  <c r="C31" i="4" s="1"/>
  <c r="F31" i="4" s="1"/>
  <c r="B10" i="4"/>
  <c r="B31" i="4" s="1"/>
  <c r="E31" i="4" s="1"/>
  <c r="D9" i="4"/>
  <c r="D30" i="4" s="1"/>
  <c r="G30" i="4" s="1"/>
  <c r="C9" i="4"/>
  <c r="C30" i="4" s="1"/>
  <c r="F30" i="4" s="1"/>
  <c r="B9" i="4"/>
  <c r="B30" i="4" s="1"/>
  <c r="E30" i="4" s="1"/>
  <c r="D8" i="4"/>
  <c r="D29" i="4" s="1"/>
  <c r="G29" i="4" s="1"/>
  <c r="C8" i="4"/>
  <c r="C29" i="4" s="1"/>
  <c r="F29" i="4" s="1"/>
  <c r="B8" i="4"/>
  <c r="B29" i="4" s="1"/>
  <c r="E29" i="4" s="1"/>
  <c r="D5" i="4"/>
  <c r="C5" i="4"/>
  <c r="B5" i="4"/>
  <c r="F15" i="7" l="1"/>
  <c r="J52" i="8"/>
  <c r="J53" i="8"/>
  <c r="E53" i="8"/>
  <c r="E22" i="8" s="1"/>
  <c r="G52" i="8"/>
  <c r="G22" i="8" s="1"/>
  <c r="K48" i="6"/>
  <c r="L72" i="8" s="1"/>
  <c r="L54" i="8" s="1"/>
  <c r="K47" i="6"/>
  <c r="K72" i="8" s="1"/>
  <c r="K54" i="8" s="1"/>
  <c r="K47" i="5"/>
  <c r="K48" i="5"/>
  <c r="K47" i="4"/>
  <c r="K48" i="4"/>
  <c r="K47" i="7"/>
  <c r="K48" i="7"/>
  <c r="G8" i="5"/>
  <c r="J8" i="5" s="1"/>
  <c r="E19" i="7"/>
  <c r="H19" i="7" s="1"/>
  <c r="E14" i="4"/>
  <c r="E14" i="5"/>
  <c r="E9" i="6"/>
  <c r="H26" i="6"/>
  <c r="J26" i="6"/>
  <c r="I26" i="5"/>
  <c r="J26" i="4"/>
  <c r="I26" i="6"/>
  <c r="I26" i="4"/>
  <c r="I15" i="7"/>
  <c r="F22" i="8"/>
  <c r="E8" i="5"/>
  <c r="E8" i="6"/>
  <c r="H8" i="6" s="1"/>
  <c r="G9" i="6"/>
  <c r="E8" i="7"/>
  <c r="E10" i="7"/>
  <c r="E12" i="7"/>
  <c r="E14" i="7"/>
  <c r="E16" i="7"/>
  <c r="E18" i="7"/>
  <c r="G8" i="6"/>
  <c r="G8" i="7"/>
  <c r="G10" i="7"/>
  <c r="G12" i="7"/>
  <c r="G14" i="7"/>
  <c r="G16" i="7"/>
  <c r="G18" i="7"/>
  <c r="F13" i="7"/>
  <c r="I13" i="7" s="1"/>
  <c r="F11" i="7"/>
  <c r="I11" i="7" s="1"/>
  <c r="K30" i="7"/>
  <c r="K32" i="7"/>
  <c r="K34" i="7"/>
  <c r="K36" i="7"/>
  <c r="K38" i="7"/>
  <c r="K40" i="7"/>
  <c r="F18" i="7"/>
  <c r="I18" i="7" s="1"/>
  <c r="F16" i="7"/>
  <c r="I16" i="7" s="1"/>
  <c r="F14" i="7"/>
  <c r="I14" i="7" s="1"/>
  <c r="F12" i="7"/>
  <c r="I12" i="7" s="1"/>
  <c r="F10" i="7"/>
  <c r="I10" i="7" s="1"/>
  <c r="F8" i="7"/>
  <c r="I8" i="7" s="1"/>
  <c r="F19" i="7"/>
  <c r="I19" i="7" s="1"/>
  <c r="F9" i="7"/>
  <c r="I9" i="7" s="1"/>
  <c r="F17" i="7"/>
  <c r="I17" i="7" s="1"/>
  <c r="K29" i="7"/>
  <c r="K31" i="7"/>
  <c r="K33" i="7"/>
  <c r="K35" i="7"/>
  <c r="K37" i="7"/>
  <c r="K39" i="7"/>
  <c r="E9" i="7"/>
  <c r="G9" i="7"/>
  <c r="E11" i="7"/>
  <c r="G11" i="7"/>
  <c r="E13" i="7"/>
  <c r="G13" i="7"/>
  <c r="E15" i="7"/>
  <c r="H15" i="7" s="1"/>
  <c r="G15" i="7"/>
  <c r="E17" i="7"/>
  <c r="G17" i="7"/>
  <c r="G19" i="7"/>
  <c r="E18" i="6"/>
  <c r="E17" i="6"/>
  <c r="E16" i="6"/>
  <c r="E15" i="6"/>
  <c r="G18" i="6"/>
  <c r="G17" i="6"/>
  <c r="G16" i="6"/>
  <c r="G15" i="6"/>
  <c r="F8" i="6"/>
  <c r="F9" i="6"/>
  <c r="F10" i="6"/>
  <c r="F11" i="6"/>
  <c r="F12" i="6"/>
  <c r="G13" i="6"/>
  <c r="C35" i="6"/>
  <c r="F35" i="6" s="1"/>
  <c r="F14" i="6"/>
  <c r="E14" i="6"/>
  <c r="E10" i="6"/>
  <c r="G10" i="6"/>
  <c r="E11" i="6"/>
  <c r="G11" i="6"/>
  <c r="E12" i="6"/>
  <c r="H12" i="6" s="1"/>
  <c r="G12" i="6"/>
  <c r="C34" i="6"/>
  <c r="F34" i="6" s="1"/>
  <c r="F13" i="6"/>
  <c r="E13" i="6"/>
  <c r="H13" i="6" s="1"/>
  <c r="G14" i="6"/>
  <c r="E19" i="6"/>
  <c r="G19" i="6"/>
  <c r="F15" i="6"/>
  <c r="F16" i="6"/>
  <c r="F17" i="6"/>
  <c r="I17" i="6" s="1"/>
  <c r="F18" i="6"/>
  <c r="F19" i="6"/>
  <c r="B40" i="6"/>
  <c r="E40" i="6" s="1"/>
  <c r="D40" i="6"/>
  <c r="G40" i="6" s="1"/>
  <c r="F8" i="5"/>
  <c r="F9" i="5"/>
  <c r="F10" i="5"/>
  <c r="F11" i="5"/>
  <c r="F12" i="5"/>
  <c r="F13" i="5"/>
  <c r="F14" i="5"/>
  <c r="E16" i="5"/>
  <c r="G16" i="5"/>
  <c r="J16" i="5" s="1"/>
  <c r="E18" i="5"/>
  <c r="G18" i="5"/>
  <c r="E9" i="5"/>
  <c r="G9" i="5"/>
  <c r="J9" i="5" s="1"/>
  <c r="E10" i="5"/>
  <c r="G10" i="5"/>
  <c r="J10" i="5" s="1"/>
  <c r="E11" i="5"/>
  <c r="G11" i="5"/>
  <c r="J11" i="5" s="1"/>
  <c r="E12" i="5"/>
  <c r="G12" i="5"/>
  <c r="J12" i="5" s="1"/>
  <c r="E13" i="5"/>
  <c r="G13" i="5"/>
  <c r="J13" i="5" s="1"/>
  <c r="G14" i="5"/>
  <c r="E15" i="5"/>
  <c r="G15" i="5"/>
  <c r="E17" i="5"/>
  <c r="G17" i="5"/>
  <c r="E19" i="5"/>
  <c r="G19" i="5"/>
  <c r="F15" i="5"/>
  <c r="F16" i="5"/>
  <c r="F17" i="5"/>
  <c r="F18" i="5"/>
  <c r="I18" i="5" s="1"/>
  <c r="F19" i="5"/>
  <c r="B36" i="5"/>
  <c r="E36" i="5" s="1"/>
  <c r="D36" i="5"/>
  <c r="G36" i="5" s="1"/>
  <c r="B37" i="5"/>
  <c r="E37" i="5" s="1"/>
  <c r="D37" i="5"/>
  <c r="G37" i="5" s="1"/>
  <c r="B38" i="5"/>
  <c r="E38" i="5" s="1"/>
  <c r="D38" i="5"/>
  <c r="G38" i="5" s="1"/>
  <c r="B39" i="5"/>
  <c r="E39" i="5" s="1"/>
  <c r="D39" i="5"/>
  <c r="G39" i="5" s="1"/>
  <c r="B40" i="5"/>
  <c r="E40" i="5" s="1"/>
  <c r="D40" i="5"/>
  <c r="G40" i="5" s="1"/>
  <c r="F19" i="4"/>
  <c r="F18" i="4"/>
  <c r="F17" i="4"/>
  <c r="I17" i="4" s="1"/>
  <c r="F8" i="4"/>
  <c r="F9" i="4"/>
  <c r="F10" i="4"/>
  <c r="F11" i="4"/>
  <c r="F12" i="4"/>
  <c r="F13" i="4"/>
  <c r="F14" i="4"/>
  <c r="F15" i="4"/>
  <c r="F16" i="4"/>
  <c r="E18" i="4"/>
  <c r="G18" i="4"/>
  <c r="E8" i="4"/>
  <c r="G8" i="4"/>
  <c r="E9" i="4"/>
  <c r="G9" i="4"/>
  <c r="E10" i="4"/>
  <c r="G10" i="4"/>
  <c r="E11" i="4"/>
  <c r="G11" i="4"/>
  <c r="E12" i="4"/>
  <c r="G12" i="4"/>
  <c r="E13" i="4"/>
  <c r="G13" i="4"/>
  <c r="G14" i="4"/>
  <c r="E15" i="4"/>
  <c r="B36" i="4"/>
  <c r="E36" i="4" s="1"/>
  <c r="G15" i="4"/>
  <c r="D36" i="4"/>
  <c r="G36" i="4" s="1"/>
  <c r="E16" i="4"/>
  <c r="B37" i="4"/>
  <c r="E37" i="4" s="1"/>
  <c r="G16" i="4"/>
  <c r="D37" i="4"/>
  <c r="G37" i="4" s="1"/>
  <c r="E17" i="4"/>
  <c r="B38" i="4"/>
  <c r="E38" i="4" s="1"/>
  <c r="G17" i="4"/>
  <c r="E19" i="4"/>
  <c r="G19" i="4"/>
  <c r="D38" i="4"/>
  <c r="G38" i="4" s="1"/>
  <c r="B39" i="4"/>
  <c r="E39" i="4" s="1"/>
  <c r="D39" i="4"/>
  <c r="G39" i="4" s="1"/>
  <c r="B40" i="4"/>
  <c r="E40" i="4" s="1"/>
  <c r="D40" i="4"/>
  <c r="G40" i="4" s="1"/>
  <c r="B8" i="1"/>
  <c r="K71" i="8" l="1"/>
  <c r="L71" i="8"/>
  <c r="H19" i="4"/>
  <c r="H11" i="7"/>
  <c r="I14" i="4"/>
  <c r="I10" i="4"/>
  <c r="J18" i="5"/>
  <c r="H19" i="6"/>
  <c r="H11" i="6"/>
  <c r="H14" i="6"/>
  <c r="H9" i="6"/>
  <c r="H16" i="6"/>
  <c r="L73" i="8"/>
  <c r="L55" i="8" s="1"/>
  <c r="H12" i="7"/>
  <c r="H10" i="6"/>
  <c r="H18" i="6"/>
  <c r="H17" i="7"/>
  <c r="H13" i="7"/>
  <c r="H9" i="7"/>
  <c r="H16" i="7"/>
  <c r="H8" i="7"/>
  <c r="J17" i="5"/>
  <c r="J14" i="5"/>
  <c r="J26" i="5"/>
  <c r="J37" i="5" s="1"/>
  <c r="H15" i="6"/>
  <c r="H14" i="7"/>
  <c r="J19" i="5"/>
  <c r="J15" i="5"/>
  <c r="H17" i="6"/>
  <c r="H18" i="7"/>
  <c r="H10" i="7"/>
  <c r="I12" i="4"/>
  <c r="J16" i="6"/>
  <c r="J19" i="7"/>
  <c r="K19" i="7" s="1"/>
  <c r="J14" i="7"/>
  <c r="J8" i="6"/>
  <c r="I16" i="4"/>
  <c r="I9" i="4"/>
  <c r="I15" i="4"/>
  <c r="I19" i="4"/>
  <c r="J14" i="6"/>
  <c r="I16" i="5"/>
  <c r="I11" i="6"/>
  <c r="I10" i="6"/>
  <c r="I8" i="6"/>
  <c r="I11" i="5"/>
  <c r="I16" i="6"/>
  <c r="J18" i="6"/>
  <c r="H14" i="5"/>
  <c r="H14" i="4"/>
  <c r="J11" i="6"/>
  <c r="J15" i="7"/>
  <c r="K15" i="7" s="1"/>
  <c r="J11" i="7"/>
  <c r="J16" i="7"/>
  <c r="J8" i="7"/>
  <c r="J9" i="6"/>
  <c r="H16" i="4"/>
  <c r="H9" i="4"/>
  <c r="I13" i="4"/>
  <c r="H26" i="4"/>
  <c r="H40" i="4" s="1"/>
  <c r="I17" i="5"/>
  <c r="I14" i="5"/>
  <c r="I10" i="5"/>
  <c r="I8" i="5"/>
  <c r="I15" i="6"/>
  <c r="I9" i="6"/>
  <c r="J17" i="7"/>
  <c r="J13" i="7"/>
  <c r="J9" i="7"/>
  <c r="K9" i="7" s="1"/>
  <c r="J12" i="7"/>
  <c r="K12" i="7" s="1"/>
  <c r="I13" i="5"/>
  <c r="I19" i="6"/>
  <c r="I13" i="6"/>
  <c r="I14" i="6"/>
  <c r="H13" i="4"/>
  <c r="I11" i="4"/>
  <c r="I8" i="4"/>
  <c r="I18" i="4"/>
  <c r="I19" i="5"/>
  <c r="I15" i="5"/>
  <c r="I12" i="5"/>
  <c r="I9" i="5"/>
  <c r="I18" i="6"/>
  <c r="J19" i="6"/>
  <c r="J10" i="6"/>
  <c r="I12" i="6"/>
  <c r="J18" i="7"/>
  <c r="J10" i="7"/>
  <c r="L81" i="8"/>
  <c r="K81" i="8"/>
  <c r="K73" i="8"/>
  <c r="K55" i="8" s="1"/>
  <c r="J19" i="4"/>
  <c r="J17" i="4"/>
  <c r="J16" i="4"/>
  <c r="J15" i="4"/>
  <c r="J13" i="4"/>
  <c r="J9" i="4"/>
  <c r="H13" i="5"/>
  <c r="H12" i="5"/>
  <c r="H11" i="5"/>
  <c r="H9" i="5"/>
  <c r="J12" i="6"/>
  <c r="K12" i="6" s="1"/>
  <c r="J13" i="6"/>
  <c r="J15" i="6"/>
  <c r="J17" i="6"/>
  <c r="K17" i="6" s="1"/>
  <c r="H8" i="5"/>
  <c r="J14" i="4"/>
  <c r="J12" i="4"/>
  <c r="J11" i="4"/>
  <c r="J10" i="4"/>
  <c r="J8" i="4"/>
  <c r="J18" i="4"/>
  <c r="H19" i="5"/>
  <c r="H17" i="5"/>
  <c r="H15" i="5"/>
  <c r="H10" i="5"/>
  <c r="H40" i="5"/>
  <c r="H18" i="5"/>
  <c r="H16" i="5"/>
  <c r="H15" i="4"/>
  <c r="H17" i="4"/>
  <c r="H12" i="4"/>
  <c r="H11" i="4"/>
  <c r="H10" i="4"/>
  <c r="H8" i="4"/>
  <c r="H18" i="4"/>
  <c r="K41" i="7"/>
  <c r="I40" i="6"/>
  <c r="I39" i="6"/>
  <c r="I38" i="6"/>
  <c r="I37" i="6"/>
  <c r="I36" i="6"/>
  <c r="I35" i="6"/>
  <c r="I34" i="6"/>
  <c r="I33" i="6"/>
  <c r="I32" i="6"/>
  <c r="I31" i="6"/>
  <c r="I30" i="6"/>
  <c r="I29" i="6"/>
  <c r="J40" i="6"/>
  <c r="J39" i="6"/>
  <c r="J38" i="6"/>
  <c r="J37" i="6"/>
  <c r="J36" i="6"/>
  <c r="J35" i="6"/>
  <c r="J34" i="6"/>
  <c r="J33" i="6"/>
  <c r="J32" i="6"/>
  <c r="J31" i="6"/>
  <c r="J30" i="6"/>
  <c r="J29" i="6"/>
  <c r="H40" i="6"/>
  <c r="H39" i="6"/>
  <c r="H38" i="6"/>
  <c r="H37" i="6"/>
  <c r="H36" i="6"/>
  <c r="H35" i="6"/>
  <c r="H34" i="6"/>
  <c r="H33" i="6"/>
  <c r="H32" i="6"/>
  <c r="H31" i="6"/>
  <c r="H30" i="6"/>
  <c r="H29" i="6"/>
  <c r="J36" i="5"/>
  <c r="I40" i="5"/>
  <c r="I39" i="5"/>
  <c r="I38" i="5"/>
  <c r="I37" i="5"/>
  <c r="I36" i="5"/>
  <c r="I35" i="5"/>
  <c r="I34" i="5"/>
  <c r="I33" i="5"/>
  <c r="I32" i="5"/>
  <c r="I31" i="5"/>
  <c r="I30" i="5"/>
  <c r="I29" i="5"/>
  <c r="J40" i="4"/>
  <c r="J39" i="4"/>
  <c r="J38" i="4"/>
  <c r="J37" i="4"/>
  <c r="J36" i="4"/>
  <c r="J35" i="4"/>
  <c r="J34" i="4"/>
  <c r="J33" i="4"/>
  <c r="J32" i="4"/>
  <c r="J31" i="4"/>
  <c r="J30" i="4"/>
  <c r="J29" i="4"/>
  <c r="I40" i="4"/>
  <c r="I39" i="4"/>
  <c r="I38" i="4"/>
  <c r="I37" i="4"/>
  <c r="I36" i="4"/>
  <c r="I35" i="4"/>
  <c r="I34" i="4"/>
  <c r="I33" i="4"/>
  <c r="I32" i="4"/>
  <c r="I31" i="4"/>
  <c r="I30" i="4"/>
  <c r="I29" i="4"/>
  <c r="K39" i="6" l="1"/>
  <c r="K16" i="5"/>
  <c r="K18" i="7"/>
  <c r="K19" i="4"/>
  <c r="K16" i="6"/>
  <c r="K14" i="7"/>
  <c r="K9" i="4"/>
  <c r="J40" i="5"/>
  <c r="K40" i="5" s="1"/>
  <c r="H38" i="4"/>
  <c r="K38" i="4" s="1"/>
  <c r="K18" i="5"/>
  <c r="J32" i="5"/>
  <c r="K11" i="7"/>
  <c r="K14" i="5"/>
  <c r="K8" i="7"/>
  <c r="K11" i="6"/>
  <c r="K12" i="5"/>
  <c r="K17" i="7"/>
  <c r="K17" i="5"/>
  <c r="K16" i="4"/>
  <c r="K14" i="6"/>
  <c r="K10" i="7"/>
  <c r="K13" i="7"/>
  <c r="K9" i="6"/>
  <c r="K8" i="6"/>
  <c r="K16" i="7"/>
  <c r="H30" i="4"/>
  <c r="K30" i="4" s="1"/>
  <c r="J30" i="5"/>
  <c r="J34" i="5"/>
  <c r="J38" i="5"/>
  <c r="H34" i="4"/>
  <c r="K34" i="4" s="1"/>
  <c r="J31" i="5"/>
  <c r="J35" i="5"/>
  <c r="J39" i="5"/>
  <c r="J29" i="5"/>
  <c r="J33" i="5"/>
  <c r="K14" i="4"/>
  <c r="K11" i="5"/>
  <c r="K18" i="6"/>
  <c r="K10" i="6"/>
  <c r="H29" i="4"/>
  <c r="K29" i="4" s="1"/>
  <c r="H33" i="4"/>
  <c r="K33" i="4" s="1"/>
  <c r="H37" i="4"/>
  <c r="K37" i="4" s="1"/>
  <c r="H35" i="4"/>
  <c r="K35" i="4" s="1"/>
  <c r="H31" i="4"/>
  <c r="K31" i="4" s="1"/>
  <c r="H39" i="4"/>
  <c r="K39" i="4" s="1"/>
  <c r="H32" i="4"/>
  <c r="K32" i="4" s="1"/>
  <c r="H36" i="4"/>
  <c r="K36" i="4" s="1"/>
  <c r="K8" i="5"/>
  <c r="K10" i="5"/>
  <c r="K15" i="6"/>
  <c r="K13" i="4"/>
  <c r="K19" i="6"/>
  <c r="K19" i="5"/>
  <c r="K9" i="5"/>
  <c r="K15" i="5"/>
  <c r="K13" i="6"/>
  <c r="K18" i="4"/>
  <c r="K12" i="4"/>
  <c r="K13" i="5"/>
  <c r="K8" i="4"/>
  <c r="H33" i="5"/>
  <c r="K10" i="4"/>
  <c r="K11" i="4"/>
  <c r="K17" i="4"/>
  <c r="K15" i="4"/>
  <c r="K35" i="6"/>
  <c r="K33" i="6"/>
  <c r="K29" i="6"/>
  <c r="K37" i="6"/>
  <c r="H29" i="5"/>
  <c r="H37" i="5"/>
  <c r="K37" i="5" s="1"/>
  <c r="K34" i="6"/>
  <c r="K40" i="6"/>
  <c r="K30" i="6"/>
  <c r="K32" i="6"/>
  <c r="K36" i="6"/>
  <c r="K38" i="6"/>
  <c r="H31" i="5"/>
  <c r="H35" i="5"/>
  <c r="H39" i="5"/>
  <c r="H30" i="5"/>
  <c r="H32" i="5"/>
  <c r="H34" i="5"/>
  <c r="H36" i="5"/>
  <c r="K36" i="5" s="1"/>
  <c r="H38" i="5"/>
  <c r="K31" i="6"/>
  <c r="K40" i="4"/>
  <c r="J26" i="1"/>
  <c r="I26" i="1"/>
  <c r="H26" i="1"/>
  <c r="D19" i="1"/>
  <c r="C19" i="1"/>
  <c r="B19" i="1"/>
  <c r="D18" i="1"/>
  <c r="C18" i="1"/>
  <c r="B18" i="1"/>
  <c r="D17" i="1"/>
  <c r="C17" i="1"/>
  <c r="B17" i="1"/>
  <c r="D16" i="1"/>
  <c r="C16" i="1"/>
  <c r="B16" i="1"/>
  <c r="D15" i="1"/>
  <c r="C15" i="1"/>
  <c r="B15" i="1"/>
  <c r="D14" i="1"/>
  <c r="C14" i="1"/>
  <c r="B14" i="1"/>
  <c r="D13" i="1"/>
  <c r="C13" i="1"/>
  <c r="B13" i="1"/>
  <c r="D12" i="1"/>
  <c r="C12" i="1"/>
  <c r="B12" i="1"/>
  <c r="D11" i="1"/>
  <c r="C11" i="1"/>
  <c r="B11" i="1"/>
  <c r="D10" i="1"/>
  <c r="C10" i="1"/>
  <c r="B10" i="1"/>
  <c r="D9" i="1"/>
  <c r="C9" i="1"/>
  <c r="B9" i="1"/>
  <c r="D8" i="1"/>
  <c r="C8" i="1"/>
  <c r="D5" i="2"/>
  <c r="C5" i="2"/>
  <c r="B5" i="2"/>
  <c r="D5" i="1"/>
  <c r="C5" i="1"/>
  <c r="B5" i="1"/>
  <c r="K47" i="1" l="1"/>
  <c r="K70" i="8" s="1"/>
  <c r="K52" i="8" s="1"/>
  <c r="E12" i="1"/>
  <c r="K48" i="1"/>
  <c r="L70" i="8" s="1"/>
  <c r="L52" i="8" s="1"/>
  <c r="K47" i="2"/>
  <c r="K82" i="8" s="1"/>
  <c r="K53" i="8" s="1"/>
  <c r="K48" i="2"/>
  <c r="L82" i="8" s="1"/>
  <c r="L53" i="8" s="1"/>
  <c r="K32" i="5"/>
  <c r="K31" i="5"/>
  <c r="K34" i="5"/>
  <c r="K35" i="5"/>
  <c r="K20" i="7"/>
  <c r="K44" i="7" s="1"/>
  <c r="H81" i="8" s="1"/>
  <c r="I81" i="8" s="1"/>
  <c r="K29" i="5"/>
  <c r="K38" i="5"/>
  <c r="K39" i="5"/>
  <c r="K33" i="5"/>
  <c r="K30" i="5"/>
  <c r="K20" i="6"/>
  <c r="K20" i="5"/>
  <c r="K20" i="4"/>
  <c r="K41" i="6"/>
  <c r="G8" i="1"/>
  <c r="F9" i="1"/>
  <c r="E10" i="1"/>
  <c r="G10" i="1"/>
  <c r="F11" i="1"/>
  <c r="G12" i="1"/>
  <c r="F13" i="1"/>
  <c r="E14" i="1"/>
  <c r="G14" i="1"/>
  <c r="F15" i="1"/>
  <c r="E16" i="1"/>
  <c r="G16" i="1"/>
  <c r="F17" i="1"/>
  <c r="E18" i="1"/>
  <c r="G18" i="1"/>
  <c r="F19" i="1"/>
  <c r="F8" i="1"/>
  <c r="E9" i="1"/>
  <c r="G9" i="1"/>
  <c r="F10" i="1"/>
  <c r="E11" i="1"/>
  <c r="G11" i="1"/>
  <c r="F12" i="1"/>
  <c r="E13" i="1"/>
  <c r="G13" i="1"/>
  <c r="F14" i="1"/>
  <c r="E15" i="1"/>
  <c r="G15" i="1"/>
  <c r="F16" i="1"/>
  <c r="E17" i="1"/>
  <c r="G17" i="1"/>
  <c r="F18" i="1"/>
  <c r="E19" i="1"/>
  <c r="G19" i="1"/>
  <c r="K41" i="4"/>
  <c r="K41" i="5" l="1"/>
  <c r="K44" i="5" s="1"/>
  <c r="K44" i="6"/>
  <c r="K44" i="4"/>
  <c r="D40" i="2"/>
  <c r="G40" i="2" s="1"/>
  <c r="J40" i="2" s="1"/>
  <c r="C40" i="2"/>
  <c r="F40" i="2" s="1"/>
  <c r="I40" i="2" s="1"/>
  <c r="B40" i="2"/>
  <c r="E40" i="2" s="1"/>
  <c r="H40" i="2" s="1"/>
  <c r="D39" i="2"/>
  <c r="G39" i="2" s="1"/>
  <c r="J39" i="2" s="1"/>
  <c r="C39" i="2"/>
  <c r="F39" i="2" s="1"/>
  <c r="I39" i="2" s="1"/>
  <c r="B39" i="2"/>
  <c r="E39" i="2" s="1"/>
  <c r="H39" i="2" s="1"/>
  <c r="D38" i="2"/>
  <c r="G38" i="2" s="1"/>
  <c r="J38" i="2" s="1"/>
  <c r="C38" i="2"/>
  <c r="F38" i="2" s="1"/>
  <c r="I38" i="2" s="1"/>
  <c r="B38" i="2"/>
  <c r="E38" i="2" s="1"/>
  <c r="H38" i="2" s="1"/>
  <c r="D37" i="2"/>
  <c r="G37" i="2" s="1"/>
  <c r="J37" i="2" s="1"/>
  <c r="C37" i="2"/>
  <c r="F37" i="2" s="1"/>
  <c r="I37" i="2" s="1"/>
  <c r="B37" i="2"/>
  <c r="E37" i="2" s="1"/>
  <c r="H37" i="2" s="1"/>
  <c r="D36" i="2"/>
  <c r="G36" i="2" s="1"/>
  <c r="J36" i="2" s="1"/>
  <c r="C36" i="2"/>
  <c r="F36" i="2" s="1"/>
  <c r="I36" i="2" s="1"/>
  <c r="B36" i="2"/>
  <c r="E36" i="2" s="1"/>
  <c r="H36" i="2" s="1"/>
  <c r="D35" i="2"/>
  <c r="G35" i="2" s="1"/>
  <c r="J35" i="2" s="1"/>
  <c r="C35" i="2"/>
  <c r="F35" i="2" s="1"/>
  <c r="I35" i="2" s="1"/>
  <c r="B35" i="2"/>
  <c r="E35" i="2" s="1"/>
  <c r="H35" i="2" s="1"/>
  <c r="D34" i="2"/>
  <c r="G34" i="2" s="1"/>
  <c r="J34" i="2" s="1"/>
  <c r="C34" i="2"/>
  <c r="F34" i="2" s="1"/>
  <c r="I34" i="2" s="1"/>
  <c r="B34" i="2"/>
  <c r="E34" i="2" s="1"/>
  <c r="H34" i="2" s="1"/>
  <c r="D33" i="2"/>
  <c r="G33" i="2" s="1"/>
  <c r="J33" i="2" s="1"/>
  <c r="C33" i="2"/>
  <c r="F33" i="2" s="1"/>
  <c r="I33" i="2" s="1"/>
  <c r="B33" i="2"/>
  <c r="E33" i="2" s="1"/>
  <c r="H33" i="2" s="1"/>
  <c r="D32" i="2"/>
  <c r="G32" i="2" s="1"/>
  <c r="J32" i="2" s="1"/>
  <c r="C32" i="2"/>
  <c r="F32" i="2" s="1"/>
  <c r="I32" i="2" s="1"/>
  <c r="B32" i="2"/>
  <c r="E32" i="2" s="1"/>
  <c r="H32" i="2" s="1"/>
  <c r="D31" i="2"/>
  <c r="G31" i="2" s="1"/>
  <c r="J31" i="2" s="1"/>
  <c r="C31" i="2"/>
  <c r="F31" i="2" s="1"/>
  <c r="I31" i="2" s="1"/>
  <c r="B31" i="2"/>
  <c r="E31" i="2" s="1"/>
  <c r="H31" i="2" s="1"/>
  <c r="D30" i="2"/>
  <c r="G30" i="2" s="1"/>
  <c r="J30" i="2" s="1"/>
  <c r="C30" i="2"/>
  <c r="F30" i="2" s="1"/>
  <c r="I30" i="2" s="1"/>
  <c r="B30" i="2"/>
  <c r="E30" i="2" s="1"/>
  <c r="H30" i="2" s="1"/>
  <c r="D29" i="2"/>
  <c r="G29" i="2" s="1"/>
  <c r="J29" i="2" s="1"/>
  <c r="C29" i="2"/>
  <c r="F29" i="2" s="1"/>
  <c r="I29" i="2" s="1"/>
  <c r="B29" i="2"/>
  <c r="E29" i="2" s="1"/>
  <c r="H29" i="2" s="1"/>
  <c r="G19" i="2"/>
  <c r="J19" i="2" s="1"/>
  <c r="F19" i="2"/>
  <c r="I19" i="2" s="1"/>
  <c r="E19" i="2"/>
  <c r="H19" i="2" s="1"/>
  <c r="G18" i="2"/>
  <c r="J18" i="2" s="1"/>
  <c r="F18" i="2"/>
  <c r="I18" i="2" s="1"/>
  <c r="E18" i="2"/>
  <c r="H18" i="2" s="1"/>
  <c r="G17" i="2"/>
  <c r="J17" i="2" s="1"/>
  <c r="F17" i="2"/>
  <c r="I17" i="2" s="1"/>
  <c r="E17" i="2"/>
  <c r="H17" i="2" s="1"/>
  <c r="G16" i="2"/>
  <c r="J16" i="2" s="1"/>
  <c r="F16" i="2"/>
  <c r="I16" i="2" s="1"/>
  <c r="E16" i="2"/>
  <c r="H16" i="2" s="1"/>
  <c r="G15" i="2"/>
  <c r="J15" i="2" s="1"/>
  <c r="F15" i="2"/>
  <c r="I15" i="2" s="1"/>
  <c r="E15" i="2"/>
  <c r="H15" i="2" s="1"/>
  <c r="G14" i="2"/>
  <c r="J14" i="2" s="1"/>
  <c r="F14" i="2"/>
  <c r="I14" i="2" s="1"/>
  <c r="E14" i="2"/>
  <c r="H14" i="2" s="1"/>
  <c r="G13" i="2"/>
  <c r="J13" i="2" s="1"/>
  <c r="F13" i="2"/>
  <c r="I13" i="2" s="1"/>
  <c r="E13" i="2"/>
  <c r="H13" i="2" s="1"/>
  <c r="G12" i="2"/>
  <c r="J12" i="2" s="1"/>
  <c r="F12" i="2"/>
  <c r="I12" i="2" s="1"/>
  <c r="E12" i="2"/>
  <c r="H12" i="2" s="1"/>
  <c r="G11" i="2"/>
  <c r="J11" i="2" s="1"/>
  <c r="F11" i="2"/>
  <c r="I11" i="2" s="1"/>
  <c r="E11" i="2"/>
  <c r="H11" i="2" s="1"/>
  <c r="G10" i="2"/>
  <c r="J10" i="2" s="1"/>
  <c r="F10" i="2"/>
  <c r="I10" i="2" s="1"/>
  <c r="E10" i="2"/>
  <c r="H10" i="2" s="1"/>
  <c r="G9" i="2"/>
  <c r="J9" i="2" s="1"/>
  <c r="F9" i="2"/>
  <c r="I9" i="2" s="1"/>
  <c r="E9" i="2"/>
  <c r="H9" i="2" s="1"/>
  <c r="G8" i="2"/>
  <c r="J8" i="2" s="1"/>
  <c r="F8" i="2"/>
  <c r="I8" i="2" s="1"/>
  <c r="E8" i="2"/>
  <c r="H8" i="2" s="1"/>
  <c r="H73" i="8" l="1"/>
  <c r="H55" i="8" s="1"/>
  <c r="I73" i="8"/>
  <c r="I55" i="8" s="1"/>
  <c r="H72" i="8"/>
  <c r="H54" i="8" s="1"/>
  <c r="I72" i="8"/>
  <c r="I54" i="8" s="1"/>
  <c r="I71" i="8"/>
  <c r="H71" i="8"/>
  <c r="K29" i="2"/>
  <c r="K30" i="2"/>
  <c r="K31" i="2"/>
  <c r="K32" i="2"/>
  <c r="K33" i="2"/>
  <c r="K34" i="2"/>
  <c r="K35" i="2"/>
  <c r="K36" i="2"/>
  <c r="K37" i="2"/>
  <c r="K38" i="2"/>
  <c r="K39" i="2"/>
  <c r="K40" i="2"/>
  <c r="K8" i="2"/>
  <c r="K9" i="2"/>
  <c r="K10" i="2"/>
  <c r="K11" i="2"/>
  <c r="K12" i="2"/>
  <c r="K13" i="2"/>
  <c r="K14" i="2"/>
  <c r="K15" i="2"/>
  <c r="K16" i="2"/>
  <c r="K17" i="2"/>
  <c r="K18" i="2"/>
  <c r="K19" i="2"/>
  <c r="D40" i="1"/>
  <c r="D34" i="1"/>
  <c r="K41" i="2" l="1"/>
  <c r="K20" i="2"/>
  <c r="E8" i="1"/>
  <c r="H8" i="1" s="1"/>
  <c r="K44" i="2" l="1"/>
  <c r="G40" i="1"/>
  <c r="J40" i="1" s="1"/>
  <c r="C40" i="1"/>
  <c r="F40" i="1" s="1"/>
  <c r="I40" i="1" s="1"/>
  <c r="B40" i="1"/>
  <c r="E40" i="1" s="1"/>
  <c r="H40" i="1" s="1"/>
  <c r="D39" i="1"/>
  <c r="G39" i="1" s="1"/>
  <c r="J39" i="1" s="1"/>
  <c r="C39" i="1"/>
  <c r="F39" i="1" s="1"/>
  <c r="I39" i="1" s="1"/>
  <c r="B39" i="1"/>
  <c r="E39" i="1" s="1"/>
  <c r="H39" i="1" s="1"/>
  <c r="D38" i="1"/>
  <c r="G38" i="1" s="1"/>
  <c r="J38" i="1" s="1"/>
  <c r="C38" i="1"/>
  <c r="F38" i="1" s="1"/>
  <c r="I38" i="1" s="1"/>
  <c r="B38" i="1"/>
  <c r="E38" i="1" s="1"/>
  <c r="H38" i="1" s="1"/>
  <c r="D37" i="1"/>
  <c r="G37" i="1" s="1"/>
  <c r="J37" i="1" s="1"/>
  <c r="C37" i="1"/>
  <c r="F37" i="1" s="1"/>
  <c r="I37" i="1" s="1"/>
  <c r="B37" i="1"/>
  <c r="E37" i="1" s="1"/>
  <c r="H37" i="1" s="1"/>
  <c r="D36" i="1"/>
  <c r="G36" i="1" s="1"/>
  <c r="J36" i="1" s="1"/>
  <c r="C36" i="1"/>
  <c r="F36" i="1" s="1"/>
  <c r="I36" i="1" s="1"/>
  <c r="B36" i="1"/>
  <c r="E36" i="1" s="1"/>
  <c r="H36" i="1" s="1"/>
  <c r="D35" i="1"/>
  <c r="G35" i="1" s="1"/>
  <c r="J35" i="1" s="1"/>
  <c r="C35" i="1"/>
  <c r="F35" i="1" s="1"/>
  <c r="I35" i="1" s="1"/>
  <c r="B35" i="1"/>
  <c r="E35" i="1" s="1"/>
  <c r="H35" i="1" s="1"/>
  <c r="G34" i="1"/>
  <c r="J34" i="1" s="1"/>
  <c r="C34" i="1"/>
  <c r="F34" i="1" s="1"/>
  <c r="I34" i="1" s="1"/>
  <c r="B34" i="1"/>
  <c r="D33" i="1"/>
  <c r="G33" i="1" s="1"/>
  <c r="J33" i="1" s="1"/>
  <c r="C33" i="1"/>
  <c r="F33" i="1" s="1"/>
  <c r="I33" i="1" s="1"/>
  <c r="B33" i="1"/>
  <c r="E33" i="1" s="1"/>
  <c r="H33" i="1" s="1"/>
  <c r="D32" i="1"/>
  <c r="G32" i="1" s="1"/>
  <c r="J32" i="1" s="1"/>
  <c r="C32" i="1"/>
  <c r="F32" i="1" s="1"/>
  <c r="I32" i="1" s="1"/>
  <c r="B32" i="1"/>
  <c r="E32" i="1" s="1"/>
  <c r="H32" i="1" s="1"/>
  <c r="D31" i="1"/>
  <c r="G31" i="1" s="1"/>
  <c r="J31" i="1" s="1"/>
  <c r="C31" i="1"/>
  <c r="F31" i="1" s="1"/>
  <c r="I31" i="1" s="1"/>
  <c r="B31" i="1"/>
  <c r="E31" i="1" s="1"/>
  <c r="H31" i="1" s="1"/>
  <c r="D30" i="1"/>
  <c r="G30" i="1" s="1"/>
  <c r="J30" i="1" s="1"/>
  <c r="C30" i="1"/>
  <c r="F30" i="1" s="1"/>
  <c r="I30" i="1" s="1"/>
  <c r="B30" i="1"/>
  <c r="E30" i="1" s="1"/>
  <c r="H30" i="1" s="1"/>
  <c r="D29" i="1"/>
  <c r="G29" i="1" s="1"/>
  <c r="J29" i="1" s="1"/>
  <c r="C29" i="1"/>
  <c r="B29" i="1"/>
  <c r="E29" i="1" s="1"/>
  <c r="H29" i="1" s="1"/>
  <c r="I17" i="1"/>
  <c r="J19" i="1"/>
  <c r="I19" i="1"/>
  <c r="H19" i="1"/>
  <c r="J18" i="1"/>
  <c r="I18" i="1"/>
  <c r="H18" i="1"/>
  <c r="J17" i="1"/>
  <c r="H17" i="1"/>
  <c r="J16" i="1"/>
  <c r="I16" i="1"/>
  <c r="H16" i="1"/>
  <c r="J15" i="1"/>
  <c r="I15" i="1"/>
  <c r="H15" i="1"/>
  <c r="J14" i="1"/>
  <c r="I14" i="1"/>
  <c r="H14" i="1"/>
  <c r="J13" i="1"/>
  <c r="I13" i="1"/>
  <c r="H13" i="1"/>
  <c r="J12" i="1"/>
  <c r="I12" i="1"/>
  <c r="H12" i="1"/>
  <c r="J11" i="1"/>
  <c r="I11" i="1"/>
  <c r="H11" i="1"/>
  <c r="J10" i="1"/>
  <c r="I10" i="1"/>
  <c r="H10" i="1"/>
  <c r="J9" i="1"/>
  <c r="I9" i="1"/>
  <c r="H9" i="1"/>
  <c r="J8" i="1"/>
  <c r="I8" i="1"/>
  <c r="F29" i="1" l="1"/>
  <c r="I29" i="1" s="1"/>
  <c r="K29" i="1" s="1"/>
  <c r="F26" i="8" s="1"/>
  <c r="H82" i="8"/>
  <c r="I82" i="8" s="1"/>
  <c r="I53" i="8" s="1"/>
  <c r="K19" i="1"/>
  <c r="E37" i="8" s="1"/>
  <c r="K8" i="1"/>
  <c r="E26" i="8" s="1"/>
  <c r="E34" i="1"/>
  <c r="H34" i="1" s="1"/>
  <c r="K34" i="1" s="1"/>
  <c r="F31" i="8" s="1"/>
  <c r="K9" i="1"/>
  <c r="E27" i="8" s="1"/>
  <c r="K11" i="1"/>
  <c r="E29" i="8" s="1"/>
  <c r="K13" i="1"/>
  <c r="E31" i="8" s="1"/>
  <c r="K15" i="1"/>
  <c r="E33" i="8" s="1"/>
  <c r="K17" i="1"/>
  <c r="E35" i="8" s="1"/>
  <c r="K10" i="1"/>
  <c r="E28" i="8" s="1"/>
  <c r="K12" i="1"/>
  <c r="E30" i="8" s="1"/>
  <c r="K14" i="1"/>
  <c r="E32" i="8" s="1"/>
  <c r="K16" i="1"/>
  <c r="E34" i="8" s="1"/>
  <c r="K18" i="1"/>
  <c r="E36" i="8" s="1"/>
  <c r="K31" i="1"/>
  <c r="F28" i="8" s="1"/>
  <c r="K35" i="1"/>
  <c r="F32" i="8" s="1"/>
  <c r="K39" i="1"/>
  <c r="F36" i="8" s="1"/>
  <c r="K33" i="1"/>
  <c r="F30" i="8" s="1"/>
  <c r="K37" i="1"/>
  <c r="F34" i="8" s="1"/>
  <c r="K30" i="1"/>
  <c r="F27" i="8" s="1"/>
  <c r="K38" i="1"/>
  <c r="F35" i="8" s="1"/>
  <c r="K32" i="1"/>
  <c r="F29" i="8" s="1"/>
  <c r="K36" i="1"/>
  <c r="F33" i="8" s="1"/>
  <c r="K40" i="1"/>
  <c r="F37" i="8" s="1"/>
  <c r="H53" i="8" l="1"/>
  <c r="E38" i="8"/>
  <c r="E39" i="8" s="1"/>
  <c r="F38" i="8"/>
  <c r="F39" i="8" s="1"/>
  <c r="K41" i="1"/>
  <c r="K20" i="1"/>
  <c r="H42" i="8" l="1"/>
  <c r="K44" i="1"/>
  <c r="H70" i="8" l="1"/>
  <c r="H52" i="8" s="1"/>
  <c r="I70" i="8"/>
  <c r="I52" i="8" s="1"/>
</calcChain>
</file>

<file path=xl/sharedStrings.xml><?xml version="1.0" encoding="utf-8"?>
<sst xmlns="http://schemas.openxmlformats.org/spreadsheetml/2006/main" count="559" uniqueCount="96">
  <si>
    <t>Març</t>
  </si>
  <si>
    <t>Maig</t>
  </si>
  <si>
    <t>Juny</t>
  </si>
  <si>
    <t>PC1</t>
  </si>
  <si>
    <t>PC2</t>
  </si>
  <si>
    <t>PC3</t>
  </si>
  <si>
    <t>PCO1</t>
  </si>
  <si>
    <t>PCO2</t>
  </si>
  <si>
    <t>PCO3</t>
  </si>
  <si>
    <t>Mes</t>
  </si>
  <si>
    <t>cp1 [€/kW any]</t>
  </si>
  <si>
    <t>cp2 [€/kW any]</t>
  </si>
  <si>
    <t>cp3 [€/kW any]</t>
  </si>
  <si>
    <t>CP1 [€/mes]</t>
  </si>
  <si>
    <t>CP2 [€/mes]</t>
  </si>
  <si>
    <t>CP3 [€/mes]</t>
  </si>
  <si>
    <t>CP [€/mes]</t>
  </si>
  <si>
    <t>PF3 [kW]</t>
  </si>
  <si>
    <t>PF2 [kW]</t>
  </si>
  <si>
    <t>PF1 [kW]</t>
  </si>
  <si>
    <t>Max3 [kW]</t>
  </si>
  <si>
    <t>Max2 [kW]</t>
  </si>
  <si>
    <t>Max1 [kW]</t>
  </si>
  <si>
    <t xml:space="preserve">  Terme de potència total anual:  </t>
  </si>
  <si>
    <t xml:space="preserve">   Terme de potència total anual:   </t>
  </si>
  <si>
    <t>Gener</t>
  </si>
  <si>
    <t>Febrer</t>
  </si>
  <si>
    <t>Abril</t>
  </si>
  <si>
    <t>Juliol</t>
  </si>
  <si>
    <t>Agost</t>
  </si>
  <si>
    <t>Setembre</t>
  </si>
  <si>
    <t>Octubre</t>
  </si>
  <si>
    <t>Novembre</t>
  </si>
  <si>
    <t>Desembre</t>
  </si>
  <si>
    <t>Diferència entre la situació actual i l'òptima (sense IEE ni IVA):</t>
  </si>
  <si>
    <t>Drets d'enganxament (sense IVA)</t>
  </si>
  <si>
    <t>Cost de canvi del trafo d'intensitat (segons instal·lació)</t>
  </si>
  <si>
    <t>Pot haver-n'hi</t>
  </si>
  <si>
    <t>Drets extensió (sense IVA)</t>
  </si>
  <si>
    <t>Drets d'accés (sense IVA)</t>
  </si>
  <si>
    <t>Potència contractada actual</t>
  </si>
  <si>
    <t>creixent</t>
  </si>
  <si>
    <t>Tarifa</t>
  </si>
  <si>
    <t>3.0A</t>
  </si>
  <si>
    <t>òptim</t>
  </si>
  <si>
    <t>P3 fix?</t>
  </si>
  <si>
    <t>Sí</t>
  </si>
  <si>
    <t>3.1A</t>
  </si>
  <si>
    <t>Cost del terme de potència (*)</t>
  </si>
  <si>
    <t>Perfil potències</t>
  </si>
  <si>
    <t>PCO1 [kW]</t>
  </si>
  <si>
    <t>PCO2 [kW]</t>
  </si>
  <si>
    <t>PCO3 [kW]</t>
  </si>
  <si>
    <t>Solució</t>
  </si>
  <si>
    <t>Drets d'accés 
(sense IVA)</t>
  </si>
  <si>
    <t>Drets extensió 
(sense IVA)</t>
  </si>
  <si>
    <t>Creixent</t>
  </si>
  <si>
    <t>Òptim</t>
  </si>
  <si>
    <t>No</t>
  </si>
  <si>
    <t>Estalvi anual [€]
(sense IVA)</t>
  </si>
  <si>
    <t>Els valors positius (+) són estalvi, els valors negatius (-) són despesa.</t>
  </si>
  <si>
    <t>Dades de maxímetre (històric + previsió)</t>
  </si>
  <si>
    <t>(*) Valors per defecte, per la tarifa escollida, segons Ordre IET/2735/2015, de 17 de desembre.</t>
  </si>
  <si>
    <t xml:space="preserve">Si es contemplen drets d'extensió i accés en una solució, l'augment de potència podria comportar altres despeses en determinades instal·lacions (canvi del transformador d'intensitat, butlletí, etc.). </t>
  </si>
  <si>
    <t>P3fix</t>
  </si>
  <si>
    <t>P3nofix</t>
  </si>
  <si>
    <t>Voleu un perfil creixent?</t>
  </si>
  <si>
    <t>Les característiques de la situació que heu escollit són les següents:</t>
  </si>
  <si>
    <t>Cost del Terme de Potència actual [€/mes]</t>
  </si>
  <si>
    <t>Cost previst del Terme de Potència amb les noves potències [€/mes]</t>
  </si>
  <si>
    <t>L'estalvi anual previst que suposarien les noves condicions respcte la situació actual és de:</t>
  </si>
  <si>
    <t>(IEE inclòs, IVA no inclòs)</t>
  </si>
  <si>
    <t>Característiques de la solució escollida</t>
  </si>
  <si>
    <t>Pot. Cont. Opt. 1</t>
  </si>
  <si>
    <t>Pot. Cont. Opt. 2</t>
  </si>
  <si>
    <t>Pot. Cont. Opt. 3</t>
  </si>
  <si>
    <t>Resum de les diverses solucions</t>
  </si>
  <si>
    <t>Id. solució</t>
  </si>
  <si>
    <t>Total amb IEE</t>
  </si>
  <si>
    <t>Total s. IEE</t>
  </si>
  <si>
    <t>Situació actual:</t>
  </si>
  <si>
    <t>Situació amb optimització de la potència contractada:</t>
  </si>
  <si>
    <t>3,1A</t>
  </si>
  <si>
    <t>preus del cost del terme de potència segons l’Ordre IET/2735/2015</t>
  </si>
  <si>
    <t>Passos a seguir</t>
  </si>
  <si>
    <t>Desitgeu fixar el P3?</t>
  </si>
  <si>
    <t>Estalvi anual [€]
(sense IEE ni IVA)</t>
  </si>
  <si>
    <t>INSTRUCCIONS PER A L'ÚS DE L'EINA D'OPTIMITZACIÓ DE LA POTÈNCIA CONTRACTADA DE LES TARIFES D'ENERGIA ELÈCTRICA EN TRES PERIODES</t>
  </si>
  <si>
    <r>
      <t xml:space="preserve">1) </t>
    </r>
    <r>
      <rPr>
        <u/>
        <sz val="11"/>
        <color theme="1"/>
        <rFont val="Calibri"/>
        <family val="2"/>
        <scheme val="minor"/>
      </rPr>
      <t>Recollida de dades</t>
    </r>
    <r>
      <rPr>
        <sz val="11"/>
        <color theme="1"/>
        <rFont val="Calibri"/>
        <family val="2"/>
        <scheme val="minor"/>
      </rPr>
      <t xml:space="preserve">: 
Cal disposar de les factures dels darrers 12 mesos.  </t>
    </r>
  </si>
  <si>
    <r>
      <t xml:space="preserve">2) </t>
    </r>
    <r>
      <rPr>
        <u/>
        <sz val="11"/>
        <color theme="1"/>
        <rFont val="Calibri"/>
        <family val="2"/>
        <scheme val="minor"/>
      </rPr>
      <t>Entrada de dades</t>
    </r>
    <r>
      <rPr>
        <sz val="11"/>
        <color theme="1"/>
        <rFont val="Calibri"/>
        <family val="2"/>
        <scheme val="minor"/>
      </rPr>
      <t>: 
Cal introduir el tipus de tarifa, les potències contractades dels tres periodes i les dades de maxímetre dels darrers 12 mesos.
En cas que les factures dels 12 mesos no corresponguin a un any natural, es preserva el nom dels mesos per sobre del seu ordre cronològic.
Si els preus del cost del terme de potència  (€/kW·any) que l'eina suggereix per defecte no són els mateixos que els de la factura, canvieu-los.</t>
    </r>
  </si>
  <si>
    <r>
      <t xml:space="preserve">4) </t>
    </r>
    <r>
      <rPr>
        <u/>
        <sz val="11"/>
        <color theme="1"/>
        <rFont val="Calibri"/>
        <family val="2"/>
        <scheme val="minor"/>
      </rPr>
      <t>Detall de les diverses solucions</t>
    </r>
    <r>
      <rPr>
        <sz val="11"/>
        <color theme="1"/>
        <rFont val="Calibri"/>
        <family val="2"/>
        <scheme val="minor"/>
      </rPr>
      <t>: 
En les diferents pestanyes d'aquest fitxer (una per a cada solució) es detalla el terme de potència mes a mes per comparar el de  la situació actual amb el de l'optimitzada.</t>
    </r>
  </si>
  <si>
    <t>El fet d'assignar al període 3 la potència contractada actual (és el que té un cost unitari de potència inferior) fa que la gestió de la DISMINUCIÓ de potència sigui més senzilla, malgrat que aquesta pugui no ser la solució òptima econòmicament. En cas de necessitar AUGMENTAR la potència, no té sentit fixar P3, per tant, es pot seleccionar directament "No".</t>
  </si>
  <si>
    <t>Per altra banda, per tarifes 3.0A la legislació no estableix de forma explícita si les potències contractades per cada període han de ser creixents (P1&lt;=P2&lt;=P3), pel què hi ha empreses distribuïdores que permeten potències contractades no creixents (per exemple P1&gt;P2&gt;P3). En cas que la solució òptima de la instal·lació es correspongués amb la segona tipologia, l'acceptació de la nova potència contractada dependria exclusivament de la distribuïdora, per tant, l'elecció d'unes potències òptimes que NO fossin creixents podria complicar la tramitació.</t>
  </si>
  <si>
    <t xml:space="preserve">L’Institut Català d’Energia ofereix una eina de càlcul que, basat amb els registres dels maxímetres, proposa el valor òptim de les potències a contractar als períodes tarifaris 3.0A i 3.1A </t>
  </si>
  <si>
    <r>
      <rPr>
        <u/>
        <sz val="11"/>
        <color theme="1"/>
        <rFont val="Calibri"/>
        <family val="2"/>
        <scheme val="minor"/>
      </rPr>
      <t>Objectiu:</t>
    </r>
    <r>
      <rPr>
        <sz val="11"/>
        <color theme="1"/>
        <rFont val="Calibri"/>
        <family val="2"/>
        <scheme val="minor"/>
      </rPr>
      <t xml:space="preserve"> 
Identificar les potències a contractar que optimitzin el cost del terme de potència de la factura elèctrica per a tarifes 3.0A i 3.1A</t>
    </r>
  </si>
  <si>
    <r>
      <t xml:space="preserve">3) </t>
    </r>
    <r>
      <rPr>
        <u/>
        <sz val="11"/>
        <color theme="1"/>
        <rFont val="Calibri"/>
        <family val="2"/>
        <scheme val="minor"/>
      </rPr>
      <t>Sortida de resultats</t>
    </r>
    <r>
      <rPr>
        <sz val="11"/>
        <color theme="1"/>
        <rFont val="Calibri"/>
        <family val="2"/>
        <scheme val="minor"/>
      </rPr>
      <t>: 
Cal determinar si es conserva la mateixa potència contractada pel tercer periode (P3 fix) o no, i si el perfil de les tres potències contractades ha de ser creixent o no.
En qualsevol cas la taula resum de les diverses solucions facilita les potències contractades òptimes també per a les circumstàncies no triades, per tal que es puguin comparar els estalvis que ofereix cada una de les situacions.
A més del càlcul de l'estalvi potencial, l'eina facilita el valor de les possibles despeses que pot comportar el canvi a la potència optimitzada.
Amb aquesta informació, en el moment de tractar el canvi de potència amb l'empresa distribuïdora, es pot valorar fins a quin punt convé assumir els contratemps que aquesta interposi pel fet de no fixar P3 o triar un perfil de potències no creixent.
Es poden consultar les diferents possibilitats en el Manual de l'usuari que es pot descarregar de la pàgina web de l'Institut Català d'Energia.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</si>
</sst>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7" formatCode="#,##0.00\ &quot;€&quot;;\-#,##0.00\ &quot;€&quot;"/>
    <numFmt numFmtId="44" formatCode="_-* #,##0.00\ &quot;€&quot;_-;\-* #,##0.00\ &quot;€&quot;_-;_-* &quot;-&quot;??\ &quot;€&quot;_-;_-@_-"/>
    <numFmt numFmtId="164" formatCode="0.0"/>
    <numFmt numFmtId="165" formatCode="#,##0.00\ &quot;€&quot;"/>
  </numFmts>
  <fonts count="18"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i/>
      <sz val="11"/>
      <color theme="1"/>
      <name val="Calibri"/>
      <family val="2"/>
      <scheme val="minor"/>
    </font>
    <font>
      <b/>
      <sz val="18"/>
      <color theme="1"/>
      <name val="Calibri"/>
      <family val="2"/>
      <scheme val="minor"/>
    </font>
    <font>
      <sz val="16"/>
      <color theme="1"/>
      <name val="Calibri"/>
      <family val="2"/>
      <scheme val="minor"/>
    </font>
    <font>
      <sz val="18"/>
      <color theme="1"/>
      <name val="Calibri"/>
      <family val="2"/>
      <scheme val="minor"/>
    </font>
    <font>
      <b/>
      <sz val="11"/>
      <color theme="0"/>
      <name val="Calibri"/>
      <family val="2"/>
      <scheme val="minor"/>
    </font>
    <font>
      <sz val="10"/>
      <color theme="1"/>
      <name val="Calibri"/>
      <family val="2"/>
      <scheme val="minor"/>
    </font>
    <font>
      <b/>
      <sz val="14"/>
      <color theme="1"/>
      <name val="Calibri"/>
      <family val="2"/>
      <scheme val="minor"/>
    </font>
    <font>
      <sz val="14"/>
      <color theme="1"/>
      <name val="Calibri"/>
      <family val="2"/>
      <scheme val="minor"/>
    </font>
    <font>
      <b/>
      <i/>
      <sz val="11"/>
      <color theme="1"/>
      <name val="Calibri"/>
      <family val="2"/>
      <scheme val="minor"/>
    </font>
    <font>
      <b/>
      <sz val="18"/>
      <color rgb="FF000000"/>
      <name val="Calibri"/>
      <family val="2"/>
    </font>
    <font>
      <u/>
      <sz val="11"/>
      <color theme="1"/>
      <name val="Calibri"/>
      <family val="2"/>
      <scheme val="minor"/>
    </font>
    <font>
      <b/>
      <sz val="12"/>
      <name val="Calibri"/>
      <family val="2"/>
      <scheme val="minor"/>
    </font>
    <font>
      <sz val="12"/>
      <name val="Calibri"/>
      <family val="2"/>
      <scheme val="minor"/>
    </font>
  </fonts>
  <fills count="9">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theme="4"/>
        <bgColor theme="1"/>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s>
  <borders count="30">
    <border>
      <left/>
      <right/>
      <top/>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theme="4"/>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tint="0.39997558519241921"/>
      </left>
      <right/>
      <top style="thin">
        <color theme="4" tint="0.39997558519241921"/>
      </top>
      <bottom style="thin">
        <color theme="4" tint="0.39997558519241921"/>
      </bottom>
      <diagonal/>
    </border>
    <border>
      <left/>
      <right style="thin">
        <color theme="4"/>
      </right>
      <top/>
      <bottom style="thin">
        <color theme="4"/>
      </bottom>
      <diagonal/>
    </border>
    <border>
      <left style="thin">
        <color theme="4"/>
      </left>
      <right/>
      <top/>
      <bottom style="thin">
        <color theme="4"/>
      </bottom>
      <diagonal/>
    </border>
    <border>
      <left style="thin">
        <color theme="4"/>
      </left>
      <right style="thin">
        <color theme="4"/>
      </right>
      <top style="thin">
        <color theme="4"/>
      </top>
      <bottom style="thin">
        <color theme="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bottom style="medium">
        <color indexed="64"/>
      </bottom>
      <diagonal/>
    </border>
    <border>
      <left/>
      <right/>
      <top style="medium">
        <color indexed="64"/>
      </top>
      <bottom/>
      <diagonal/>
    </border>
  </borders>
  <cellStyleXfs count="2">
    <xf numFmtId="0" fontId="0" fillId="0" borderId="0"/>
    <xf numFmtId="44" fontId="1" fillId="0" borderId="0" applyFont="0" applyFill="0" applyBorder="0" applyAlignment="0" applyProtection="0"/>
  </cellStyleXfs>
  <cellXfs count="140">
    <xf numFmtId="0" fontId="0" fillId="0" borderId="0" xfId="0"/>
    <xf numFmtId="0" fontId="0" fillId="0" borderId="0" xfId="0" applyAlignment="1">
      <alignment horizontal="center"/>
    </xf>
    <xf numFmtId="44" fontId="0" fillId="0" borderId="0" xfId="1" applyFont="1"/>
    <xf numFmtId="1" fontId="0" fillId="0" borderId="0" xfId="0" applyNumberFormat="1" applyAlignment="1">
      <alignment horizontal="center"/>
    </xf>
    <xf numFmtId="0" fontId="0" fillId="2" borderId="0" xfId="0" applyFill="1"/>
    <xf numFmtId="0" fontId="0" fillId="2" borderId="0" xfId="0" applyFill="1" applyAlignment="1">
      <alignment horizontal="center"/>
    </xf>
    <xf numFmtId="44" fontId="0" fillId="2" borderId="0" xfId="1" applyFont="1" applyFill="1"/>
    <xf numFmtId="1" fontId="0" fillId="2" borderId="0" xfId="0" applyNumberFormat="1" applyFill="1" applyAlignment="1">
      <alignment horizontal="center"/>
    </xf>
    <xf numFmtId="0" fontId="0" fillId="0" borderId="0" xfId="0" applyFill="1"/>
    <xf numFmtId="0" fontId="0" fillId="0" borderId="0" xfId="0" applyFill="1" applyAlignment="1">
      <alignment horizontal="center"/>
    </xf>
    <xf numFmtId="0" fontId="2" fillId="2" borderId="0" xfId="0" applyFont="1" applyFill="1" applyAlignment="1">
      <alignment horizontal="center"/>
    </xf>
    <xf numFmtId="44" fontId="0" fillId="2" borderId="0" xfId="0" applyNumberFormat="1" applyFont="1" applyFill="1"/>
    <xf numFmtId="44" fontId="4" fillId="2" borderId="0" xfId="0" applyNumberFormat="1" applyFont="1" applyFill="1" applyAlignment="1">
      <alignment vertical="center"/>
    </xf>
    <xf numFmtId="0" fontId="3" fillId="2" borderId="0" xfId="0" applyFont="1" applyFill="1" applyAlignment="1">
      <alignment horizontal="right" vertical="center"/>
    </xf>
    <xf numFmtId="0" fontId="2" fillId="0" borderId="0" xfId="0" applyFont="1" applyAlignment="1">
      <alignment horizontal="center"/>
    </xf>
    <xf numFmtId="0" fontId="5" fillId="0" borderId="0" xfId="0" applyFont="1"/>
    <xf numFmtId="0" fontId="5" fillId="2" borderId="0" xfId="0" applyFont="1" applyFill="1"/>
    <xf numFmtId="0" fontId="6" fillId="2" borderId="0" xfId="0" applyFont="1" applyFill="1"/>
    <xf numFmtId="44" fontId="2" fillId="0" borderId="0" xfId="1" applyFont="1"/>
    <xf numFmtId="44" fontId="2" fillId="2" borderId="0" xfId="1" applyFont="1" applyFill="1"/>
    <xf numFmtId="44" fontId="7" fillId="2" borderId="0" xfId="0" applyNumberFormat="1" applyFont="1" applyFill="1" applyAlignment="1">
      <alignment horizontal="right"/>
    </xf>
    <xf numFmtId="44" fontId="7" fillId="2" borderId="0" xfId="0" applyNumberFormat="1" applyFont="1" applyFill="1"/>
    <xf numFmtId="0" fontId="4" fillId="2" borderId="0" xfId="0" applyFont="1" applyFill="1" applyAlignment="1">
      <alignment horizontal="center"/>
    </xf>
    <xf numFmtId="164" fontId="4" fillId="2" borderId="0" xfId="0" applyNumberFormat="1" applyFont="1" applyFill="1" applyAlignment="1">
      <alignment horizontal="center"/>
    </xf>
    <xf numFmtId="0" fontId="6" fillId="2" borderId="0" xfId="0" applyFont="1" applyFill="1" applyAlignment="1">
      <alignment horizontal="right"/>
    </xf>
    <xf numFmtId="44" fontId="6" fillId="2" borderId="0" xfId="0" applyNumberFormat="1" applyFont="1" applyFill="1" applyAlignment="1"/>
    <xf numFmtId="0" fontId="8" fillId="2" borderId="0" xfId="0" applyFont="1" applyFill="1" applyAlignment="1"/>
    <xf numFmtId="0" fontId="0" fillId="2" borderId="0" xfId="0" applyFill="1" applyAlignment="1"/>
    <xf numFmtId="44" fontId="3" fillId="2" borderId="0" xfId="0" applyNumberFormat="1" applyFont="1" applyFill="1" applyAlignment="1"/>
    <xf numFmtId="44" fontId="0" fillId="0" borderId="0" xfId="0" applyNumberFormat="1"/>
    <xf numFmtId="0" fontId="0" fillId="0" borderId="0" xfId="0" applyFont="1"/>
    <xf numFmtId="0" fontId="10" fillId="2" borderId="0" xfId="0" applyFont="1" applyFill="1" applyAlignment="1">
      <alignment horizontal="left"/>
    </xf>
    <xf numFmtId="0" fontId="0" fillId="0" borderId="0" xfId="0" applyFill="1" applyAlignment="1">
      <alignment horizontal="center" vertical="center" wrapText="1"/>
    </xf>
    <xf numFmtId="0" fontId="5" fillId="2" borderId="3"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1" xfId="0" applyFont="1" applyBorder="1" applyAlignment="1">
      <alignment horizontal="center" vertical="center"/>
    </xf>
    <xf numFmtId="0" fontId="9" fillId="3" borderId="4" xfId="0" applyFont="1" applyFill="1" applyBorder="1" applyAlignment="1">
      <alignment vertical="center" wrapText="1"/>
    </xf>
    <xf numFmtId="0" fontId="9" fillId="3" borderId="5" xfId="0" applyFont="1" applyFill="1" applyBorder="1" applyAlignment="1">
      <alignment vertical="center" wrapText="1"/>
    </xf>
    <xf numFmtId="0" fontId="9" fillId="3" borderId="5"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5" fillId="4" borderId="4" xfId="0" applyFont="1" applyFill="1" applyBorder="1" applyAlignment="1">
      <alignment horizontal="center" vertical="center"/>
    </xf>
    <xf numFmtId="0" fontId="5" fillId="4" borderId="5" xfId="0" applyFont="1" applyFill="1" applyBorder="1" applyAlignment="1">
      <alignment horizontal="center" vertical="center"/>
    </xf>
    <xf numFmtId="0" fontId="5" fillId="2" borderId="4" xfId="0"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2" fillId="4" borderId="5" xfId="0" applyNumberFormat="1" applyFont="1" applyFill="1" applyBorder="1" applyAlignment="1">
      <alignment horizontal="center" vertical="center"/>
    </xf>
    <xf numFmtId="164" fontId="2" fillId="2" borderId="5" xfId="0" applyNumberFormat="1" applyFont="1" applyFill="1" applyBorder="1" applyAlignment="1">
      <alignment horizontal="center" vertical="center"/>
    </xf>
    <xf numFmtId="164" fontId="2" fillId="2" borderId="1" xfId="0" applyNumberFormat="1" applyFont="1" applyFill="1" applyBorder="1" applyAlignment="1">
      <alignment horizontal="center" vertical="center"/>
    </xf>
    <xf numFmtId="44" fontId="2" fillId="4" borderId="5" xfId="1" applyFont="1" applyFill="1" applyBorder="1" applyAlignment="1">
      <alignment horizontal="center" vertical="center"/>
    </xf>
    <xf numFmtId="44" fontId="2" fillId="4" borderId="6" xfId="1" applyFont="1" applyFill="1" applyBorder="1" applyAlignment="1">
      <alignment horizontal="center" vertical="center"/>
    </xf>
    <xf numFmtId="44" fontId="2" fillId="2" borderId="5" xfId="1" applyFont="1" applyFill="1" applyBorder="1" applyAlignment="1">
      <alignment horizontal="center" vertical="center"/>
    </xf>
    <xf numFmtId="44" fontId="2" fillId="2" borderId="6" xfId="1" applyFont="1" applyFill="1" applyBorder="1" applyAlignment="1">
      <alignment horizontal="center" vertical="center"/>
    </xf>
    <xf numFmtId="44" fontId="2" fillId="2" borderId="1" xfId="1" applyFont="1" applyFill="1" applyBorder="1" applyAlignment="1">
      <alignment horizontal="center" vertical="center"/>
    </xf>
    <xf numFmtId="44" fontId="2" fillId="2" borderId="2" xfId="1" applyFont="1" applyFill="1" applyBorder="1" applyAlignment="1">
      <alignment horizontal="center" vertical="center"/>
    </xf>
    <xf numFmtId="164" fontId="0" fillId="0" borderId="0" xfId="0" applyNumberFormat="1"/>
    <xf numFmtId="0" fontId="5" fillId="4" borderId="8" xfId="0" applyFont="1" applyFill="1" applyBorder="1" applyAlignment="1">
      <alignment horizontal="center" vertical="center"/>
    </xf>
    <xf numFmtId="0" fontId="5" fillId="4" borderId="9" xfId="0" applyFont="1" applyFill="1" applyBorder="1" applyAlignment="1">
      <alignment horizontal="center" vertical="center"/>
    </xf>
    <xf numFmtId="164" fontId="2" fillId="4" borderId="9" xfId="0" applyNumberFormat="1" applyFont="1" applyFill="1" applyBorder="1" applyAlignment="1">
      <alignment horizontal="center" vertical="center"/>
    </xf>
    <xf numFmtId="44" fontId="2" fillId="4" borderId="9" xfId="1" applyFont="1" applyFill="1" applyBorder="1" applyAlignment="1">
      <alignment horizontal="center" vertical="center"/>
    </xf>
    <xf numFmtId="44" fontId="2" fillId="4" borderId="10" xfId="1" applyFont="1" applyFill="1" applyBorder="1" applyAlignment="1">
      <alignment horizontal="center" vertical="center"/>
    </xf>
    <xf numFmtId="0" fontId="5" fillId="2" borderId="11" xfId="0" applyFont="1" applyFill="1" applyBorder="1" applyAlignment="1">
      <alignment horizontal="center" vertical="center"/>
    </xf>
    <xf numFmtId="0" fontId="5" fillId="0" borderId="12" xfId="0" applyFont="1" applyBorder="1" applyAlignment="1">
      <alignment horizontal="center" vertical="center"/>
    </xf>
    <xf numFmtId="0" fontId="5" fillId="2" borderId="12" xfId="0" applyFont="1" applyFill="1" applyBorder="1" applyAlignment="1">
      <alignment horizontal="center" vertical="center"/>
    </xf>
    <xf numFmtId="164" fontId="2" fillId="2" borderId="12" xfId="0" applyNumberFormat="1" applyFont="1" applyFill="1" applyBorder="1" applyAlignment="1">
      <alignment horizontal="center" vertical="center"/>
    </xf>
    <xf numFmtId="44" fontId="2" fillId="2" borderId="12" xfId="1" applyFont="1" applyFill="1" applyBorder="1" applyAlignment="1">
      <alignment horizontal="center" vertical="center"/>
    </xf>
    <xf numFmtId="44" fontId="2" fillId="2" borderId="13" xfId="1" applyFont="1" applyFill="1" applyBorder="1" applyAlignment="1">
      <alignment horizontal="center" vertical="center"/>
    </xf>
    <xf numFmtId="0" fontId="0" fillId="0" borderId="0" xfId="0" applyFont="1" applyAlignment="1">
      <alignment horizontal="center" vertical="center"/>
    </xf>
    <xf numFmtId="0" fontId="0" fillId="2" borderId="0" xfId="0" applyFont="1" applyFill="1" applyAlignment="1">
      <alignment horizontal="center" vertical="center"/>
    </xf>
    <xf numFmtId="44" fontId="11" fillId="0" borderId="0" xfId="1" applyFont="1" applyAlignment="1">
      <alignment horizontal="center" vertical="center"/>
    </xf>
    <xf numFmtId="44" fontId="11" fillId="2" borderId="0" xfId="1" applyFont="1" applyFill="1" applyAlignment="1">
      <alignment horizontal="center" vertical="center"/>
    </xf>
    <xf numFmtId="0" fontId="10" fillId="2" borderId="0" xfId="0" applyFont="1" applyFill="1"/>
    <xf numFmtId="0" fontId="0" fillId="0" borderId="0" xfId="0" applyAlignment="1">
      <alignment horizontal="right"/>
    </xf>
    <xf numFmtId="0" fontId="0" fillId="2" borderId="0" xfId="0" applyFill="1" applyAlignment="1">
      <alignment horizontal="left" vertical="top" wrapText="1"/>
    </xf>
    <xf numFmtId="0" fontId="12" fillId="2" borderId="0" xfId="0" applyFont="1" applyFill="1" applyAlignment="1">
      <alignment horizontal="left"/>
    </xf>
    <xf numFmtId="44" fontId="6" fillId="2" borderId="0" xfId="0" applyNumberFormat="1" applyFont="1" applyFill="1" applyAlignment="1">
      <alignment horizontal="center"/>
    </xf>
    <xf numFmtId="0" fontId="5" fillId="6" borderId="18" xfId="0" applyFont="1" applyFill="1" applyBorder="1"/>
    <xf numFmtId="0" fontId="5" fillId="2" borderId="18" xfId="0" applyFont="1" applyFill="1" applyBorder="1"/>
    <xf numFmtId="0" fontId="9" fillId="5" borderId="0" xfId="0" applyFont="1" applyFill="1" applyBorder="1" applyAlignment="1">
      <alignment horizontal="center" vertical="center" wrapText="1"/>
    </xf>
    <xf numFmtId="0" fontId="2" fillId="2" borderId="0" xfId="0" applyFont="1" applyFill="1"/>
    <xf numFmtId="0" fontId="0" fillId="0" borderId="0" xfId="0" applyFont="1" applyAlignment="1">
      <alignment horizontal="center"/>
    </xf>
    <xf numFmtId="0" fontId="13" fillId="2" borderId="0" xfId="0" applyFont="1" applyFill="1"/>
    <xf numFmtId="44" fontId="11" fillId="2" borderId="0" xfId="0" applyNumberFormat="1" applyFont="1" applyFill="1" applyBorder="1" applyAlignment="1">
      <alignment horizontal="center"/>
    </xf>
    <xf numFmtId="0" fontId="9" fillId="7" borderId="22" xfId="0" applyFont="1" applyFill="1" applyBorder="1" applyAlignment="1">
      <alignment horizontal="center"/>
    </xf>
    <xf numFmtId="0" fontId="9" fillId="7" borderId="23" xfId="0" applyFont="1" applyFill="1" applyBorder="1" applyAlignment="1">
      <alignment horizontal="center"/>
    </xf>
    <xf numFmtId="0" fontId="9" fillId="7" borderId="24" xfId="0" applyFont="1" applyFill="1" applyBorder="1" applyAlignment="1">
      <alignment horizontal="center"/>
    </xf>
    <xf numFmtId="0" fontId="0" fillId="8" borderId="25" xfId="0" applyFont="1" applyFill="1" applyBorder="1" applyAlignment="1">
      <alignment horizontal="center"/>
    </xf>
    <xf numFmtId="7" fontId="6" fillId="2" borderId="0" xfId="0" applyNumberFormat="1" applyFont="1" applyFill="1" applyAlignment="1"/>
    <xf numFmtId="0" fontId="0" fillId="2" borderId="0" xfId="0" applyFill="1" applyAlignment="1">
      <alignment horizontal="left" vertical="top" wrapText="1"/>
    </xf>
    <xf numFmtId="0" fontId="0" fillId="0" borderId="0" xfId="0" applyAlignment="1">
      <alignment horizontal="left" wrapText="1"/>
    </xf>
    <xf numFmtId="0" fontId="0" fillId="2" borderId="0" xfId="0" applyFill="1" applyAlignment="1">
      <alignment horizontal="left" vertical="center" wrapText="1"/>
    </xf>
    <xf numFmtId="0" fontId="16" fillId="0" borderId="28" xfId="0" applyFont="1" applyFill="1" applyBorder="1" applyAlignment="1">
      <alignment wrapText="1"/>
    </xf>
    <xf numFmtId="0" fontId="16" fillId="2" borderId="29" xfId="0" applyFont="1" applyFill="1" applyBorder="1" applyAlignment="1"/>
    <xf numFmtId="0" fontId="2" fillId="0" borderId="0" xfId="0" applyFont="1" applyAlignment="1" applyProtection="1">
      <alignment horizontal="center"/>
      <protection locked="0"/>
    </xf>
    <xf numFmtId="0" fontId="2" fillId="2" borderId="0" xfId="0" applyFont="1" applyFill="1" applyAlignment="1" applyProtection="1">
      <alignment horizontal="center"/>
      <protection locked="0"/>
    </xf>
    <xf numFmtId="0" fontId="4" fillId="2" borderId="7" xfId="0" applyFont="1" applyFill="1" applyBorder="1" applyAlignment="1" applyProtection="1">
      <alignment horizontal="center"/>
      <protection locked="0"/>
    </xf>
    <xf numFmtId="0" fontId="4" fillId="2" borderId="0" xfId="0" applyFont="1" applyFill="1" applyAlignment="1" applyProtection="1">
      <alignment horizontal="center"/>
      <protection locked="0"/>
    </xf>
    <xf numFmtId="0" fontId="0" fillId="8" borderId="25" xfId="0" applyFont="1" applyFill="1" applyBorder="1" applyAlignment="1" applyProtection="1">
      <alignment horizontal="center"/>
      <protection locked="0"/>
    </xf>
    <xf numFmtId="0" fontId="0" fillId="8" borderId="26" xfId="0" applyFont="1" applyFill="1" applyBorder="1" applyAlignment="1" applyProtection="1">
      <alignment horizontal="center"/>
      <protection locked="0"/>
    </xf>
    <xf numFmtId="0" fontId="0" fillId="8" borderId="27" xfId="0" applyFont="1" applyFill="1" applyBorder="1" applyAlignment="1" applyProtection="1">
      <alignment horizontal="center"/>
      <protection locked="0"/>
    </xf>
    <xf numFmtId="7" fontId="6" fillId="2" borderId="0" xfId="0" applyNumberFormat="1" applyFont="1" applyFill="1" applyAlignment="1" applyProtection="1">
      <protection hidden="1"/>
    </xf>
    <xf numFmtId="44" fontId="2" fillId="4" borderId="19" xfId="1" applyNumberFormat="1" applyFont="1" applyFill="1" applyBorder="1" applyProtection="1">
      <protection hidden="1"/>
    </xf>
    <xf numFmtId="44" fontId="2" fillId="4" borderId="20" xfId="1" applyNumberFormat="1" applyFont="1" applyFill="1" applyBorder="1" applyProtection="1">
      <protection hidden="1"/>
    </xf>
    <xf numFmtId="44" fontId="2" fillId="4" borderId="17" xfId="1" applyNumberFormat="1" applyFont="1" applyFill="1" applyBorder="1" applyProtection="1">
      <protection hidden="1"/>
    </xf>
    <xf numFmtId="44" fontId="2" fillId="4" borderId="16" xfId="1" applyNumberFormat="1" applyFont="1" applyFill="1" applyBorder="1" applyProtection="1">
      <protection hidden="1"/>
    </xf>
    <xf numFmtId="44" fontId="2" fillId="4" borderId="15" xfId="1" applyNumberFormat="1" applyFont="1" applyFill="1" applyBorder="1" applyProtection="1">
      <protection hidden="1"/>
    </xf>
    <xf numFmtId="44" fontId="2" fillId="4" borderId="14" xfId="1" applyNumberFormat="1" applyFont="1" applyFill="1" applyBorder="1" applyProtection="1">
      <protection hidden="1"/>
    </xf>
    <xf numFmtId="44" fontId="11" fillId="2" borderId="21" xfId="0" applyNumberFormat="1" applyFont="1" applyFill="1" applyBorder="1" applyAlignment="1" applyProtection="1">
      <alignment horizontal="center"/>
      <protection hidden="1"/>
    </xf>
    <xf numFmtId="0" fontId="2" fillId="2" borderId="7" xfId="0" applyFont="1" applyFill="1" applyBorder="1" applyAlignment="1" applyProtection="1">
      <alignment horizontal="center"/>
      <protection locked="0"/>
    </xf>
    <xf numFmtId="164" fontId="4" fillId="2" borderId="0" xfId="0" applyNumberFormat="1" applyFont="1" applyFill="1" applyAlignment="1" applyProtection="1">
      <alignment horizontal="center"/>
    </xf>
    <xf numFmtId="164" fontId="2" fillId="0" borderId="0" xfId="0" applyNumberFormat="1" applyFont="1" applyAlignment="1" applyProtection="1">
      <alignment horizontal="center" vertical="center"/>
      <protection hidden="1"/>
    </xf>
    <xf numFmtId="164" fontId="2" fillId="2" borderId="0" xfId="0" applyNumberFormat="1" applyFont="1" applyFill="1" applyAlignment="1" applyProtection="1">
      <alignment horizontal="center" vertical="center"/>
      <protection hidden="1"/>
    </xf>
    <xf numFmtId="165" fontId="1" fillId="0" borderId="0" xfId="1" applyNumberFormat="1" applyFont="1" applyAlignment="1" applyProtection="1">
      <alignment horizontal="center" vertical="center"/>
      <protection hidden="1"/>
    </xf>
    <xf numFmtId="165" fontId="1" fillId="2" borderId="0" xfId="1" applyNumberFormat="1" applyFont="1" applyFill="1" applyAlignment="1" applyProtection="1">
      <alignment horizontal="center" vertical="center"/>
      <protection hidden="1"/>
    </xf>
    <xf numFmtId="0" fontId="0" fillId="2" borderId="0" xfId="0" applyFill="1" applyProtection="1"/>
    <xf numFmtId="0" fontId="0" fillId="0" borderId="0" xfId="0" applyAlignment="1" applyProtection="1">
      <alignment horizontal="center"/>
    </xf>
    <xf numFmtId="0" fontId="4" fillId="2" borderId="0" xfId="0" applyFont="1" applyFill="1" applyAlignment="1" applyProtection="1">
      <alignment horizontal="center"/>
    </xf>
    <xf numFmtId="0" fontId="0" fillId="2" borderId="0" xfId="0" applyFill="1" applyAlignment="1" applyProtection="1">
      <alignment horizontal="center"/>
    </xf>
    <xf numFmtId="0" fontId="0" fillId="0" borderId="0" xfId="0" applyFill="1" applyProtection="1"/>
    <xf numFmtId="0" fontId="0" fillId="0" borderId="0" xfId="0" applyFill="1" applyAlignment="1" applyProtection="1">
      <alignment horizontal="center"/>
    </xf>
    <xf numFmtId="0" fontId="5" fillId="0" borderId="0" xfId="0" applyFont="1" applyProtection="1"/>
    <xf numFmtId="0" fontId="2" fillId="0" borderId="0" xfId="0" applyFont="1" applyAlignment="1" applyProtection="1">
      <alignment horizontal="center"/>
    </xf>
    <xf numFmtId="1" fontId="0" fillId="0" borderId="0" xfId="0" applyNumberFormat="1" applyAlignment="1" applyProtection="1">
      <alignment horizontal="center"/>
    </xf>
    <xf numFmtId="44" fontId="0" fillId="0" borderId="0" xfId="1" applyFont="1" applyProtection="1"/>
    <xf numFmtId="44" fontId="2" fillId="0" borderId="0" xfId="1" applyFont="1" applyProtection="1"/>
    <xf numFmtId="0" fontId="5" fillId="2" borderId="0" xfId="0" applyFont="1" applyFill="1" applyProtection="1"/>
    <xf numFmtId="0" fontId="2" fillId="2" borderId="0" xfId="0" applyFont="1" applyFill="1" applyAlignment="1" applyProtection="1">
      <alignment horizontal="center"/>
    </xf>
    <xf numFmtId="1" fontId="0" fillId="2" borderId="0" xfId="0" applyNumberFormat="1" applyFill="1" applyAlignment="1" applyProtection="1">
      <alignment horizontal="center"/>
    </xf>
    <xf numFmtId="44" fontId="0" fillId="2" borderId="0" xfId="1" applyFont="1" applyFill="1" applyProtection="1"/>
    <xf numFmtId="44" fontId="2" fillId="2" borderId="0" xfId="1" applyFont="1" applyFill="1" applyProtection="1"/>
    <xf numFmtId="44" fontId="0" fillId="2" borderId="0" xfId="0" applyNumberFormat="1" applyFont="1" applyFill="1" applyProtection="1"/>
    <xf numFmtId="44" fontId="7" fillId="2" borderId="0" xfId="0" applyNumberFormat="1" applyFont="1" applyFill="1" applyAlignment="1" applyProtection="1">
      <alignment horizontal="right"/>
    </xf>
    <xf numFmtId="44" fontId="7" fillId="2" borderId="0" xfId="0" applyNumberFormat="1" applyFont="1" applyFill="1" applyProtection="1"/>
    <xf numFmtId="0" fontId="6" fillId="2" borderId="0" xfId="0" applyFont="1" applyFill="1" applyProtection="1"/>
    <xf numFmtId="0" fontId="6" fillId="2" borderId="0" xfId="0" applyFont="1" applyFill="1" applyAlignment="1" applyProtection="1">
      <alignment horizontal="right"/>
    </xf>
    <xf numFmtId="44" fontId="6" fillId="2" borderId="0" xfId="0" applyNumberFormat="1" applyFont="1" applyFill="1" applyAlignment="1" applyProtection="1"/>
    <xf numFmtId="0" fontId="8" fillId="2" borderId="0" xfId="0" applyFont="1" applyFill="1" applyAlignment="1" applyProtection="1"/>
    <xf numFmtId="0" fontId="0" fillId="2" borderId="0" xfId="0" applyFill="1" applyAlignment="1" applyProtection="1"/>
    <xf numFmtId="44" fontId="3" fillId="2" borderId="0" xfId="0" applyNumberFormat="1" applyFont="1" applyFill="1" applyAlignment="1" applyProtection="1"/>
    <xf numFmtId="0" fontId="17" fillId="2" borderId="0" xfId="0" applyFont="1" applyFill="1" applyBorder="1" applyAlignment="1">
      <alignment horizontal="left" vertical="center" wrapText="1"/>
    </xf>
    <xf numFmtId="0" fontId="0" fillId="2" borderId="0" xfId="0" applyFill="1" applyAlignment="1">
      <alignment horizontal="left" vertical="top" wrapText="1"/>
    </xf>
  </cellXfs>
  <cellStyles count="2">
    <cellStyle name="Moneda" xfId="1" builtinId="4"/>
    <cellStyle name="Normal" xfId="0" builtinId="0"/>
  </cellStyles>
  <dxfs count="423">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b val="0"/>
        <i/>
        <strike val="0"/>
        <condense val="0"/>
        <extend val="0"/>
        <outline val="0"/>
        <shadow val="0"/>
        <u val="none"/>
        <vertAlign val="baseline"/>
        <sz val="11"/>
        <color theme="1"/>
        <name val="Calibri"/>
        <scheme val="minor"/>
      </font>
      <fill>
        <patternFill patternType="solid">
          <fgColor indexed="64"/>
          <bgColor theme="0"/>
        </patternFill>
      </fill>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i/>
      </font>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b val="0"/>
        <i/>
        <strike val="0"/>
        <condense val="0"/>
        <extend val="0"/>
        <outline val="0"/>
        <shadow val="0"/>
        <u val="none"/>
        <vertAlign val="baseline"/>
        <sz val="11"/>
        <color theme="1"/>
        <name val="Calibri"/>
        <scheme val="minor"/>
      </font>
      <fill>
        <patternFill patternType="solid">
          <fgColor indexed="64"/>
          <bgColor theme="0"/>
        </patternFill>
      </fill>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i/>
      </font>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b val="0"/>
        <i/>
        <strike val="0"/>
        <condense val="0"/>
        <extend val="0"/>
        <outline val="0"/>
        <shadow val="0"/>
        <u val="none"/>
        <vertAlign val="baseline"/>
        <sz val="11"/>
        <color theme="1"/>
        <name val="Calibri"/>
        <scheme val="minor"/>
      </font>
      <fill>
        <patternFill patternType="solid">
          <fgColor indexed="64"/>
          <bgColor theme="0"/>
        </patternFill>
      </fill>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font>
        <i/>
      </font>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b val="0"/>
        <i/>
        <strike val="0"/>
        <condense val="0"/>
        <extend val="0"/>
        <outline val="0"/>
        <shadow val="0"/>
        <u val="none"/>
        <vertAlign val="baseline"/>
        <sz val="11"/>
        <color theme="1"/>
        <name val="Calibri"/>
        <scheme val="minor"/>
      </font>
      <fill>
        <patternFill patternType="solid">
          <fgColor indexed="64"/>
          <bgColor theme="0"/>
        </patternFill>
      </fill>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i/>
      </font>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dxf>
    <dxf>
      <font>
        <b/>
        <strike val="0"/>
        <outline val="0"/>
        <shadow val="0"/>
        <u val="none"/>
        <vertAlign val="baseline"/>
        <sz val="16"/>
        <color rgb="FF000000"/>
        <name val="Calibri"/>
        <scheme val="none"/>
      </font>
      <fill>
        <patternFill patternType="solid">
          <fgColor rgb="FF000000"/>
          <bgColor rgb="FFFFFFFF"/>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b val="0"/>
        <i/>
        <strike val="0"/>
        <condense val="0"/>
        <extend val="0"/>
        <outline val="0"/>
        <shadow val="0"/>
        <u val="none"/>
        <vertAlign val="baseline"/>
        <sz val="11"/>
        <color theme="1"/>
        <name val="Calibri"/>
        <scheme val="minor"/>
      </font>
      <fill>
        <patternFill patternType="solid">
          <fgColor indexed="64"/>
          <bgColor theme="0"/>
        </patternFill>
      </fill>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dxf>
    <dxf>
      <font>
        <b/>
      </font>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1"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alignment horizontal="center" vertical="bottom" textRotation="0" wrapText="0" indent="0" justifyLastLine="0" shrinkToFit="0" readingOrder="0"/>
    </dxf>
    <dxf>
      <font>
        <b/>
      </font>
    </dxf>
    <dxf>
      <fill>
        <patternFill patternType="solid">
          <fgColor indexed="64"/>
          <bgColor theme="0"/>
        </patternFill>
      </fill>
    </dxf>
    <dxf>
      <font>
        <i/>
      </font>
    </dxf>
    <dxf>
      <fill>
        <patternFill patternType="solid">
          <fgColor rgb="FF000000"/>
          <bgColor rgb="FFFFFFFF"/>
        </patternFill>
      </fill>
    </dxf>
    <dxf>
      <font>
        <b val="0"/>
        <i val="0"/>
        <strike val="0"/>
        <condense val="0"/>
        <extend val="0"/>
        <outline val="0"/>
        <shadow val="0"/>
        <u val="none"/>
        <vertAlign val="baseline"/>
        <sz val="11"/>
        <color rgb="FF000000"/>
        <name val="Calibri"/>
        <scheme val="none"/>
      </font>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1"/>
    </dxf>
    <dxf>
      <alignment horizontal="center" vertical="bottom" textRotation="0" wrapText="0" indent="0" justifyLastLine="0" shrinkToFit="0" readingOrder="0"/>
      <protection locked="1"/>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protection locked="1"/>
    </dxf>
    <dxf>
      <font>
        <b/>
      </font>
      <protection locked="1"/>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protection locked="1"/>
    </dxf>
    <dxf>
      <font>
        <b val="0"/>
        <i val="0"/>
        <strike val="0"/>
        <condense val="0"/>
        <extend val="0"/>
        <outline val="0"/>
        <shadow val="0"/>
        <u val="none"/>
        <vertAlign val="baseline"/>
        <sz val="11"/>
        <color theme="1"/>
        <name val="Calibri"/>
        <scheme val="minor"/>
      </font>
      <fill>
        <patternFill patternType="solid">
          <fgColor indexed="64"/>
          <bgColor theme="0"/>
        </patternFill>
      </fill>
      <protection locked="1"/>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protection locked="1"/>
    </dxf>
    <dxf>
      <protection locked="1"/>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protection locked="1"/>
    </dxf>
    <dxf>
      <protection locked="1"/>
    </dxf>
    <dxf>
      <numFmt numFmtId="1" formatCode="0"/>
      <fill>
        <patternFill patternType="solid">
          <fgColor indexed="64"/>
          <bgColor theme="0"/>
        </patternFill>
      </fill>
      <alignment horizontal="center" vertical="bottom" textRotation="0" wrapText="0" indent="0" justifyLastLine="0" shrinkToFit="0" readingOrder="0"/>
      <protection locked="1"/>
    </dxf>
    <dxf>
      <protection locked="1"/>
    </dxf>
    <dxf>
      <numFmt numFmtId="1" formatCode="0"/>
      <fill>
        <patternFill patternType="solid">
          <fgColor indexed="64"/>
          <bgColor theme="0"/>
        </patternFill>
      </fill>
      <alignment horizontal="center" vertical="bottom" textRotation="0" wrapText="0" indent="0" justifyLastLine="0" shrinkToFit="0" readingOrder="0"/>
      <protection locked="1"/>
    </dxf>
    <dxf>
      <protection locked="1"/>
    </dxf>
    <dxf>
      <numFmt numFmtId="1" formatCode="0"/>
      <fill>
        <patternFill patternType="solid">
          <fgColor indexed="64"/>
          <bgColor theme="0"/>
        </patternFill>
      </fill>
      <alignment horizontal="center" vertical="bottom" textRotation="0" wrapText="0" indent="0" justifyLastLine="0" shrinkToFit="0" readingOrder="0"/>
      <protection locked="1"/>
    </dxf>
    <dxf>
      <protection locked="1"/>
    </dxf>
    <dxf>
      <fill>
        <patternFill patternType="solid">
          <fgColor indexed="64"/>
          <bgColor theme="0"/>
        </patternFill>
      </fill>
      <alignment horizontal="center" vertical="bottom" textRotation="0" wrapText="0" indent="0" justifyLastLine="0" shrinkToFit="0" readingOrder="0"/>
      <protection locked="1"/>
    </dxf>
    <dxf>
      <font>
        <b/>
      </font>
      <protection locked="1"/>
    </dxf>
    <dxf>
      <fill>
        <patternFill patternType="solid">
          <fgColor indexed="64"/>
          <bgColor theme="0"/>
        </patternFill>
      </fill>
      <alignment horizontal="center" vertical="bottom" textRotation="0" wrapText="0" indent="0" justifyLastLine="0" shrinkToFit="0" readingOrder="0"/>
      <protection locked="1"/>
    </dxf>
    <dxf>
      <font>
        <b/>
      </font>
      <protection locked="1"/>
    </dxf>
    <dxf>
      <fill>
        <patternFill patternType="solid">
          <fgColor indexed="64"/>
          <bgColor theme="0"/>
        </patternFill>
      </fill>
      <alignment horizontal="center" vertical="bottom" textRotation="0" wrapText="0" indent="0" justifyLastLine="0" shrinkToFit="0" readingOrder="0"/>
      <protection locked="1"/>
    </dxf>
    <dxf>
      <font>
        <b/>
      </font>
      <protection locked="1"/>
    </dxf>
    <dxf>
      <fill>
        <patternFill patternType="solid">
          <fgColor indexed="64"/>
          <bgColor theme="0"/>
        </patternFill>
      </fill>
      <protection locked="1"/>
    </dxf>
    <dxf>
      <font>
        <b val="0"/>
        <i/>
        <strike val="0"/>
        <condense val="0"/>
        <extend val="0"/>
        <outline val="0"/>
        <shadow val="0"/>
        <u val="none"/>
        <vertAlign val="baseline"/>
        <sz val="11"/>
        <color theme="1"/>
        <name val="Calibri"/>
        <scheme val="minor"/>
      </font>
      <fill>
        <patternFill patternType="solid">
          <fgColor indexed="64"/>
          <bgColor theme="0"/>
        </patternFill>
      </fill>
      <protection locked="1"/>
    </dxf>
    <dxf>
      <fill>
        <patternFill patternType="solid">
          <fgColor indexed="64"/>
          <bgColor theme="0"/>
        </patternFill>
      </fill>
      <protection locked="1"/>
    </dxf>
    <dxf>
      <font>
        <b val="0"/>
        <i val="0"/>
        <strike val="0"/>
        <condense val="0"/>
        <extend val="0"/>
        <outline val="0"/>
        <shadow val="0"/>
        <u val="none"/>
        <vertAlign val="baseline"/>
        <sz val="11"/>
        <color theme="1"/>
        <name val="Calibri"/>
        <scheme val="minor"/>
      </font>
      <protection locked="1"/>
    </dxf>
    <dxf>
      <fill>
        <patternFill patternType="none">
          <fgColor indexed="64"/>
          <bgColor indexed="65"/>
        </patternFill>
      </fill>
      <alignment horizontal="center" vertical="bottom" textRotation="0" wrapText="0" indent="0" justifyLastLine="0" shrinkToFit="0" readingOrder="0"/>
      <protection locked="1"/>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protection locked="1"/>
    </dxf>
    <dxf>
      <font>
        <b/>
      </font>
      <protection locked="1"/>
    </dxf>
    <dxf>
      <font>
        <b val="0"/>
        <i val="0"/>
        <strike val="0"/>
        <condense val="0"/>
        <extend val="0"/>
        <outline val="0"/>
        <shadow val="0"/>
        <u val="none"/>
        <vertAlign val="baseline"/>
        <sz val="16"/>
        <color theme="1"/>
        <name val="Calibri"/>
        <scheme val="minor"/>
      </font>
      <numFmt numFmtId="34" formatCode="_-* #,##0.00\ &quot;€&quot;_-;\-* #,##0.00\ &quot;€&quot;_-;_-* &quot;-&quot;??\ &quot;€&quot;_-;_-@_-"/>
      <fill>
        <patternFill patternType="solid">
          <fgColor indexed="64"/>
          <bgColor theme="0"/>
        </patternFill>
      </fill>
      <alignment horizontal="right" vertical="bottom" textRotation="0" wrapText="0" indent="0" justifyLastLine="0" shrinkToFit="0" readingOrder="0"/>
      <protection locked="1"/>
    </dxf>
    <dxf>
      <protection locked="1"/>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protection locked="1"/>
    </dxf>
    <dxf>
      <protection locked="1"/>
    </dxf>
    <dxf>
      <font>
        <b val="0"/>
        <i val="0"/>
        <strike val="0"/>
        <condense val="0"/>
        <extend val="0"/>
        <outline val="0"/>
        <shadow val="0"/>
        <u val="none"/>
        <vertAlign val="baseline"/>
        <sz val="11"/>
        <color theme="1"/>
        <name val="Calibri"/>
        <scheme val="minor"/>
      </font>
      <numFmt numFmtId="34" formatCode="_-* #,##0.00\ &quot;€&quot;_-;\-* #,##0.00\ &quot;€&quot;_-;_-* &quot;-&quot;??\ &quot;€&quot;_-;_-@_-"/>
      <fill>
        <patternFill patternType="solid">
          <fgColor indexed="64"/>
          <bgColor theme="0"/>
        </patternFill>
      </fill>
      <protection locked="1"/>
    </dxf>
    <dxf>
      <protection locked="1"/>
    </dxf>
    <dxf>
      <fill>
        <patternFill patternType="solid">
          <fgColor indexed="64"/>
          <bgColor theme="0"/>
        </patternFill>
      </fill>
      <alignment horizontal="center" vertical="bottom" textRotation="0" wrapText="0" indent="0" justifyLastLine="0" shrinkToFit="0" readingOrder="0"/>
      <protection locked="1"/>
    </dxf>
    <dxf>
      <numFmt numFmtId="1" formatCode="0"/>
      <fill>
        <patternFill patternType="solid">
          <fgColor indexed="64"/>
          <bgColor theme="0"/>
        </patternFill>
      </fill>
      <alignment horizontal="center" vertical="bottom" textRotation="0" wrapText="0" indent="0" justifyLastLine="0" shrinkToFit="0" readingOrder="0"/>
      <protection locked="1"/>
    </dxf>
    <dxf>
      <fill>
        <patternFill patternType="solid">
          <fgColor indexed="64"/>
          <bgColor theme="0"/>
        </patternFill>
      </fill>
      <alignment horizontal="center" vertical="bottom" textRotation="0" wrapText="0" indent="0" justifyLastLine="0" shrinkToFit="0" readingOrder="0"/>
      <protection locked="1"/>
    </dxf>
    <dxf>
      <numFmt numFmtId="1" formatCode="0"/>
      <fill>
        <patternFill patternType="solid">
          <fgColor indexed="64"/>
          <bgColor theme="0"/>
        </patternFill>
      </fill>
      <alignment horizontal="center" vertical="bottom" textRotation="0" wrapText="0" indent="0" justifyLastLine="0" shrinkToFit="0" readingOrder="0"/>
      <protection locked="1"/>
    </dxf>
    <dxf>
      <fill>
        <patternFill patternType="solid">
          <fgColor indexed="64"/>
          <bgColor theme="0"/>
        </patternFill>
      </fill>
      <alignment horizontal="center" vertical="bottom" textRotation="0" wrapText="0" indent="0" justifyLastLine="0" shrinkToFit="0" readingOrder="0"/>
      <protection locked="1"/>
    </dxf>
    <dxf>
      <numFmt numFmtId="1" formatCode="0"/>
      <fill>
        <patternFill patternType="solid">
          <fgColor indexed="64"/>
          <bgColor theme="0"/>
        </patternFill>
      </fill>
      <alignment horizontal="center" vertical="bottom" textRotation="0" wrapText="0" indent="0" justifyLastLine="0" shrinkToFit="0" readingOrder="0"/>
      <protection locked="1"/>
    </dxf>
    <dxf>
      <fill>
        <patternFill patternType="solid">
          <fgColor indexed="64"/>
          <bgColor theme="0"/>
        </patternFill>
      </fill>
      <alignment horizontal="center" vertical="bottom" textRotation="0" wrapText="0" indent="0" justifyLastLine="0" shrinkToFit="0" readingOrder="0"/>
      <protection locked="1"/>
    </dxf>
    <dxf>
      <font>
        <b/>
      </font>
      <protection locked="1"/>
    </dxf>
    <dxf>
      <fill>
        <patternFill patternType="solid">
          <fgColor indexed="64"/>
          <bgColor theme="0"/>
        </patternFill>
      </fill>
      <alignment horizontal="center" vertical="bottom" textRotation="0" wrapText="0" indent="0" justifyLastLine="0" shrinkToFit="0" readingOrder="0"/>
      <protection locked="1"/>
    </dxf>
    <dxf>
      <font>
        <b/>
      </font>
      <protection locked="1"/>
    </dxf>
    <dxf>
      <fill>
        <patternFill patternType="solid">
          <fgColor indexed="64"/>
          <bgColor theme="0"/>
        </patternFill>
      </fill>
      <alignment horizontal="center" vertical="bottom" textRotation="0" wrapText="0" indent="0" justifyLastLine="0" shrinkToFit="0" readingOrder="0"/>
      <protection locked="1"/>
    </dxf>
    <dxf>
      <font>
        <b/>
      </font>
      <protection locked="1"/>
    </dxf>
    <dxf>
      <fill>
        <patternFill patternType="solid">
          <fgColor indexed="64"/>
          <bgColor theme="0"/>
        </patternFill>
      </fill>
      <protection locked="1"/>
    </dxf>
    <dxf>
      <font>
        <i/>
      </font>
      <protection locked="1"/>
    </dxf>
    <dxf>
      <fill>
        <patternFill patternType="solid">
          <fgColor indexed="64"/>
          <bgColor theme="0"/>
        </patternFill>
      </fill>
      <protection locked="1"/>
    </dxf>
    <dxf>
      <font>
        <b val="0"/>
        <i val="0"/>
        <strike val="0"/>
        <condense val="0"/>
        <extend val="0"/>
        <outline val="0"/>
        <shadow val="0"/>
        <u val="none"/>
        <vertAlign val="baseline"/>
        <sz val="11"/>
        <color theme="1"/>
        <name val="Calibri"/>
        <scheme val="minor"/>
      </font>
      <protection locked="1"/>
    </dxf>
    <dxf>
      <fill>
        <patternFill patternType="none">
          <fgColor indexed="64"/>
          <bgColor auto="1"/>
        </patternFill>
      </fill>
      <alignment horizontal="center" vertical="bottom" textRotation="0" wrapText="0" indent="0" justifyLastLine="0" shrinkToFit="0" readingOrder="0"/>
      <protection locked="1"/>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protection locked="1" hidden="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protection locked="1" hidden="0"/>
    </dxf>
    <dxf>
      <font>
        <b/>
        <strike val="0"/>
        <outline val="0"/>
        <shadow val="0"/>
        <u val="none"/>
        <vertAlign val="baseline"/>
        <sz val="16"/>
        <color theme="1"/>
        <name val="Calibri"/>
        <scheme val="minor"/>
      </font>
      <numFmt numFmtId="164" formatCode="0.0"/>
      <fill>
        <patternFill patternType="solid">
          <fgColor indexed="64"/>
          <bgColor theme="0"/>
        </patternFill>
      </fill>
      <alignment horizontal="center" vertical="bottom" textRotation="0" wrapText="0" indent="0" justifyLastLine="0" shrinkToFit="0" readingOrder="0"/>
      <protection locked="1" hidden="0"/>
    </dxf>
    <dxf>
      <alignment horizontal="center" vertical="bottom" textRotation="0" wrapText="0" indent="0" justifyLastLine="0" shrinkToFit="0" readingOrder="0"/>
      <protection locked="1" hidden="0"/>
    </dxf>
    <dxf>
      <font>
        <strike val="0"/>
        <outline val="0"/>
        <shadow val="0"/>
        <u val="none"/>
        <vertAlign val="baseline"/>
        <sz val="11"/>
        <color theme="1"/>
        <name val="Calibri"/>
        <scheme val="minor"/>
      </font>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0.00\ &quot;€&quot;"/>
      <fill>
        <patternFill patternType="solid">
          <fgColor indexed="64"/>
          <bgColor theme="0"/>
        </patternFill>
      </fill>
      <alignment horizontal="center" vertical="center" textRotation="0" wrapText="0" indent="0" justifyLastLine="0" shrinkToFit="0" readingOrder="0"/>
      <protection locked="1" hidden="1"/>
    </dxf>
    <dxf>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0.00\ &quot;€&quot;"/>
      <fill>
        <patternFill patternType="solid">
          <fgColor indexed="64"/>
          <bgColor theme="0"/>
        </patternFill>
      </fill>
      <alignment horizontal="center" vertical="center" textRotation="0" wrapText="0" indent="0" justifyLastLine="0" shrinkToFit="0" readingOrder="0"/>
      <protection locked="1" hidden="1"/>
    </dxf>
    <dxf>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0.00\ &quot;€&quot;"/>
      <fill>
        <patternFill patternType="solid">
          <fgColor indexed="64"/>
          <bgColor theme="0"/>
        </patternFill>
      </fill>
      <alignment horizontal="center" vertical="center" textRotation="0" wrapText="0" indent="0" justifyLastLine="0" shrinkToFit="0" readingOrder="0"/>
      <protection locked="1" hidden="1"/>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4"/>
        <color theme="1"/>
        <name val="Calibri"/>
        <scheme val="minor"/>
      </font>
      <numFmt numFmtId="34" formatCode="_-* #,##0.00\ &quot;€&quot;_-;\-* #,##0.00\ &quot;€&quot;_-;_-* &quot;-&quot;??\ &quot;€&quot;_-;_-@_-"/>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font>
      <numFmt numFmtId="164" formatCode="0.0"/>
      <fill>
        <patternFill patternType="solid">
          <fgColor indexed="64"/>
          <bgColor theme="0"/>
        </patternFill>
      </fill>
      <alignment horizontal="center" vertical="center" textRotation="0" wrapText="0" indent="0" justifyLastLine="0" shrinkToFit="0" readingOrder="0"/>
      <protection locked="1" hidden="1"/>
    </dxf>
    <dxf>
      <fill>
        <patternFill patternType="solid">
          <fgColor indexed="64"/>
          <bgColor theme="0"/>
        </patternFill>
      </fill>
      <alignment horizontal="center" vertical="bottom" textRotation="0" wrapText="0" indent="0" justifyLastLine="0" shrinkToFit="0" readingOrder="0"/>
    </dxf>
    <dxf>
      <font>
        <b/>
        <i val="0"/>
      </font>
      <numFmt numFmtId="164" formatCode="0.0"/>
      <alignment horizontal="center" vertical="center" textRotation="0" wrapText="0" indent="0" justifyLastLine="0" shrinkToFit="0" readingOrder="0"/>
      <protection locked="1" hidden="1"/>
    </dxf>
    <dxf>
      <fill>
        <patternFill patternType="solid">
          <fgColor indexed="64"/>
          <bgColor theme="0"/>
        </patternFill>
      </fill>
      <alignment horizontal="center" vertical="bottom" textRotation="0" wrapText="0" indent="0" justifyLastLine="0" shrinkToFit="0" readingOrder="0"/>
    </dxf>
    <dxf>
      <font>
        <b/>
        <i val="0"/>
      </font>
      <numFmt numFmtId="164" formatCode="0.0"/>
      <alignment horizontal="center" vertical="center" textRotation="0" wrapText="0" indent="0" justifyLastLine="0" shrinkToFit="0" readingOrder="0"/>
      <protection locked="1" hidden="1"/>
    </dxf>
    <dxf>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dxf>
    <dxf>
      <font>
        <i val="0"/>
      </font>
      <numFmt numFmtId="0" formatCode="General"/>
      <alignment horizontal="center" vertical="center" textRotation="0" wrapText="0" indent="0" justifyLastLine="0" shrinkToFit="0" readingOrder="0"/>
    </dxf>
    <dxf>
      <fill>
        <patternFill patternType="solid">
          <fgColor rgb="FF000000"/>
          <bgColor rgb="FFFFFFFF"/>
        </patternFill>
      </fill>
    </dxf>
    <dxf>
      <font>
        <b val="0"/>
        <i val="0"/>
        <strike val="0"/>
        <condense val="0"/>
        <extend val="0"/>
        <outline val="0"/>
        <shadow val="0"/>
        <u val="none"/>
        <vertAlign val="baseline"/>
        <sz val="11"/>
        <color rgb="FF000000"/>
        <name val="Calibri"/>
        <scheme val="minor"/>
      </font>
      <alignment horizontal="center"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0" hidden="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0" hidden="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0" hidden="0"/>
    </dxf>
    <dxf>
      <font>
        <b/>
        <strike val="0"/>
        <outline val="0"/>
        <shadow val="0"/>
        <u val="none"/>
        <vertAlign val="baseline"/>
        <sz val="16"/>
        <color theme="1"/>
        <name val="Calibri"/>
        <scheme val="minor"/>
      </font>
      <fill>
        <patternFill patternType="solid">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font>
      <protection locked="0" hidden="0"/>
    </dxf>
    <dxf>
      <fill>
        <patternFill patternType="solid">
          <fgColor indexed="64"/>
          <bgColor theme="0"/>
        </patternFill>
      </fill>
      <alignment horizontal="center" vertical="bottom" textRotation="0" wrapText="0" indent="0" justifyLastLine="0" shrinkToFit="0" readingOrder="0"/>
    </dxf>
    <dxf>
      <font>
        <b/>
      </font>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dxf>
    <dxf>
      <font>
        <b/>
      </font>
      <protection locked="0" hidden="0"/>
    </dxf>
    <dxf>
      <fill>
        <patternFill patternType="solid">
          <fgColor indexed="64"/>
          <bgColor theme="0"/>
        </patternFill>
      </fill>
    </dxf>
    <dxf>
      <font>
        <i/>
      </font>
    </dxf>
    <dxf>
      <fill>
        <patternFill patternType="solid">
          <fgColor indexed="64"/>
          <bgColor theme="0"/>
        </patternFill>
      </fill>
    </dxf>
    <dxf>
      <font>
        <b val="0"/>
        <i val="0"/>
        <strike val="0"/>
        <condense val="0"/>
        <extend val="0"/>
        <outline val="0"/>
        <shadow val="0"/>
        <u val="none"/>
        <vertAlign val="baseline"/>
        <sz val="11"/>
        <color theme="1"/>
        <name val="Calibri"/>
        <scheme val="minor"/>
      </font>
    </dxf>
    <dxf>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2123945</xdr:colOff>
      <xdr:row>1</xdr:row>
      <xdr:rowOff>46864</xdr:rowOff>
    </xdr:to>
    <xdr:pic>
      <xdr:nvPicPr>
        <xdr:cNvPr id="2" name="Imatg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 y="57150"/>
          <a:ext cx="2066795" cy="3230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742950</xdr:colOff>
          <xdr:row>35</xdr:row>
          <xdr:rowOff>66675</xdr:rowOff>
        </xdr:from>
        <xdr:to>
          <xdr:col>4</xdr:col>
          <xdr:colOff>409575</xdr:colOff>
          <xdr:row>37</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ca-ES" sz="1800" b="1" i="0" u="none" strike="noStrike" baseline="0">
                  <a:solidFill>
                    <a:srgbClr val="000000"/>
                  </a:solidFill>
                  <a:latin typeface="Calibri"/>
                  <a:cs typeface="Calibri"/>
                </a:rPr>
                <a:t>Optimitzar la potència</a:t>
              </a:r>
            </a:p>
          </xdr:txBody>
        </xdr:sp>
        <xdr:clientData fPrintsWithSheet="0"/>
      </xdr:twoCellAnchor>
    </mc:Choice>
    <mc:Fallback/>
  </mc:AlternateContent>
</xdr:wsDr>
</file>

<file path=xl/tables/table1.xml><?xml version="1.0" encoding="utf-8"?>
<table xmlns="http://schemas.openxmlformats.org/spreadsheetml/2006/main" id="13" name="Taula114" displayName="Taula114" ref="B15:E27" totalsRowShown="0" headerRowDxfId="422" dataDxfId="421" totalsRowDxfId="420" dataCellStyle="Moneda">
  <tableColumns count="4">
    <tableColumn id="1" name="Mes" dataDxfId="419" totalsRowDxfId="418"/>
    <tableColumn id="2" name="Max1 [kW]" dataDxfId="417" totalsRowDxfId="416"/>
    <tableColumn id="3" name="Max2 [kW]" dataDxfId="415" totalsRowDxfId="414"/>
    <tableColumn id="4" name="Max3 [kW]" dataDxfId="413" totalsRowDxfId="412"/>
  </tableColumns>
  <tableStyleInfo name="TableStyleMedium2" showFirstColumn="0" showLastColumn="0" showRowStripes="1" showColumnStripes="0"/>
</table>
</file>

<file path=xl/tables/table2.xml><?xml version="1.0" encoding="utf-8"?>
<table xmlns="http://schemas.openxmlformats.org/spreadsheetml/2006/main" id="15" name="Taula316" displayName="Taula316" ref="C10:E11" totalsRowShown="0" headerRowDxfId="411" dataDxfId="410">
  <tableColumns count="3">
    <tableColumn id="1" name="PC1" dataDxfId="409"/>
    <tableColumn id="2" name="PC2" dataDxfId="408"/>
    <tableColumn id="3" name="PC3" dataDxfId="407"/>
  </tableColumns>
  <tableStyleInfo name="TableStyleLight9" showFirstColumn="0" showLastColumn="0" showRowStripes="1" showColumnStripes="0"/>
</table>
</file>

<file path=xl/tables/table3.xml><?xml version="1.0" encoding="utf-8"?>
<table xmlns="http://schemas.openxmlformats.org/spreadsheetml/2006/main" id="17" name="Taula618" displayName="Taula618" ref="C31:E32" totalsRowShown="0" headerRowDxfId="406" dataDxfId="405">
  <tableColumns count="3">
    <tableColumn id="1" name="cp1 [€/kW any]" dataDxfId="404">
      <calculatedColumnFormula>+IF($C$6=$H$32,I32,I33)</calculatedColumnFormula>
    </tableColumn>
    <tableColumn id="2" name="cp2 [€/kW any]" dataDxfId="403">
      <calculatedColumnFormula>+IF($C$6=$H$32,J32,J33)</calculatedColumnFormula>
    </tableColumn>
    <tableColumn id="3" name="cp3 [€/kW any]" dataDxfId="402">
      <calculatedColumnFormula>+IF($C$6=$H$32,K32,K33)</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0" name="Taula11441" displayName="Taula11441" ref="B51:L55" totalsRowShown="0" headerRowDxfId="401" dataDxfId="400" totalsRowDxfId="399" dataCellStyle="Moneda">
  <tableColumns count="11">
    <tableColumn id="1" name="Id. solució" dataDxfId="398">
      <calculatedColumnFormula>+IF($H$2=$B$67,B70,B81)</calculatedColumnFormula>
    </tableColumn>
    <tableColumn id="5" name="P3 fix?" dataDxfId="397" totalsRowDxfId="396">
      <calculatedColumnFormula>+IF($H$2=$B$67,C70,C81)</calculatedColumnFormula>
    </tableColumn>
    <tableColumn id="6" name="Perfil potències" dataDxfId="395" totalsRowDxfId="394">
      <calculatedColumnFormula>+IF($H$2=$B$67,D70,D81)</calculatedColumnFormula>
    </tableColumn>
    <tableColumn id="2" name="PCO1 [kW]" dataDxfId="393" totalsRowDxfId="392">
      <calculatedColumnFormula>+IF($H$2=$B$67,E70,E81)</calculatedColumnFormula>
    </tableColumn>
    <tableColumn id="3" name="PCO2 [kW]" dataDxfId="391" totalsRowDxfId="390">
      <calculatedColumnFormula>+IF($H$2=$B$67,F70,F81)</calculatedColumnFormula>
    </tableColumn>
    <tableColumn id="4" name="PCO3 [kW]" dataDxfId="389" totalsRowDxfId="388">
      <calculatedColumnFormula>+IF($H$2=$B$67,G70,G81)</calculatedColumnFormula>
    </tableColumn>
    <tableColumn id="10" name="Estalvi anual [€]_x000a_(sense IEE ni IVA)" dataDxfId="387" totalsRowDxfId="386" dataCellStyle="Moneda">
      <calculatedColumnFormula>+IF($H$2=$B$67,H70,H81)</calculatedColumnFormula>
    </tableColumn>
    <tableColumn id="11" name="Estalvi anual [€]_x000a_(sense IVA)" totalsRowDxfId="385">
      <calculatedColumnFormula>+IF($H$2=$B$67,I70,I81)</calculatedColumnFormula>
    </tableColumn>
    <tableColumn id="9" name="Drets d'enganxament (sense IVA)" dataDxfId="384" totalsRowDxfId="383" dataCellStyle="Moneda">
      <calculatedColumnFormula>+IF($H$2=$B$67,J70,J81)</calculatedColumnFormula>
    </tableColumn>
    <tableColumn id="8" name="Drets extensió _x000a_(sense IVA)" dataDxfId="382" totalsRowDxfId="381" dataCellStyle="Moneda">
      <calculatedColumnFormula>+IF($H$2=$B$67,K70,K81)</calculatedColumnFormula>
    </tableColumn>
    <tableColumn id="7" name="Drets d'accés _x000a_(sense IVA)" dataDxfId="380" totalsRowDxfId="379" dataCellStyle="Moneda">
      <calculatedColumnFormula>+IF($H$2=$B$67,L70,L81)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41" name="Taula31642" displayName="Taula31642" ref="E21:G22" totalsRowShown="0" headerRowDxfId="378" dataDxfId="377">
  <tableColumns count="3">
    <tableColumn id="1" name="Pot. Cont. Opt. 1" dataDxfId="376">
      <calculatedColumnFormula>+VLOOKUP($S$8,$B$52:$G$55,4,0)</calculatedColumnFormula>
    </tableColumn>
    <tableColumn id="2" name="Pot. Cont. Opt. 2" dataDxfId="375">
      <calculatedColumnFormula>+VLOOKUP($S$8,$B$52:$G$55,5,0)</calculatedColumnFormula>
    </tableColumn>
    <tableColumn id="3" name="Pot. Cont. Opt. 3" dataDxfId="374">
      <calculatedColumnFormula>+VLOOKUP($S$8,$B$52:$G$55,6,0)</calculatedColumnFormula>
    </tableColumn>
  </tableColumns>
  <tableStyleInfo name="TableStyleLight9" showFirstColumn="0" showLastColumn="0" showRowStripes="1" showColumnStripes="0"/>
</table>
</file>

<file path=xl/tables/table6.xml><?xml version="1.0" encoding="utf-8"?>
<table xmlns="http://schemas.openxmlformats.org/spreadsheetml/2006/main" id="1" name="Taula1" displayName="Taula1" ref="A7:K20" totalsRowCount="1" headerRowDxfId="373" dataDxfId="372" totalsRowDxfId="371" dataCellStyle="Moneda">
  <tableColumns count="11">
    <tableColumn id="1" name="Mes" dataDxfId="370" totalsRowDxfId="369"/>
    <tableColumn id="2" name="Max1 [kW]" dataDxfId="368" totalsRowDxfId="367">
      <calculatedColumnFormula>+'Entrada de dades'!C16</calculatedColumnFormula>
    </tableColumn>
    <tableColumn id="3" name="Max2 [kW]" dataDxfId="366" totalsRowDxfId="365">
      <calculatedColumnFormula>+'Entrada de dades'!D16</calculatedColumnFormula>
    </tableColumn>
    <tableColumn id="4" name="Max3 [kW]" dataDxfId="364" totalsRowDxfId="363">
      <calculatedColumnFormula>+'Entrada de dades'!E16</calculatedColumnFormula>
    </tableColumn>
    <tableColumn id="5" name="PF1 [kW]" dataDxfId="362" totalsRowDxfId="361">
      <calculatedColumnFormula>+IF(B8&lt;(0.85*B$5),0.85*B$5,IF(B8&gt;(1.05*B$5),B8+2*(B8-1.05*B$5),B8))</calculatedColumnFormula>
    </tableColumn>
    <tableColumn id="6" name="PF2 [kW]" dataDxfId="360" totalsRowDxfId="359">
      <calculatedColumnFormula>+IF(C8&lt;(0.85*C$5),0.85*C$5,IF(C8&gt;(1.05*C$5),C8+2*(C8-1.05*C$5),C8))</calculatedColumnFormula>
    </tableColumn>
    <tableColumn id="7" name="PF3 [kW]" dataDxfId="358" totalsRowDxfId="357">
      <calculatedColumnFormula>+IF(D8&lt;(0.85*D$5),0.85*D$5,IF(D8&gt;(1.05*D$5),D8+2*(D8-1.05*D$5),D8))</calculatedColumnFormula>
    </tableColumn>
    <tableColumn id="8" name="CP1 [€/mes]" dataDxfId="356" totalsRowDxfId="355" dataCellStyle="Moneda">
      <calculatedColumnFormula>+H$5*E8/12</calculatedColumnFormula>
    </tableColumn>
    <tableColumn id="9" name="CP2 [€/mes]" dataDxfId="354" totalsRowDxfId="353" dataCellStyle="Moneda">
      <calculatedColumnFormula>+I$5*F8/12</calculatedColumnFormula>
    </tableColumn>
    <tableColumn id="10" name="CP3 [€/mes]" totalsRowLabel="  Terme de potència total anual:  " dataDxfId="352" totalsRowDxfId="351" dataCellStyle="Moneda">
      <calculatedColumnFormula>+J$5*G8/12</calculatedColumnFormula>
    </tableColumn>
    <tableColumn id="11" name="CP [€/mes]" totalsRowFunction="sum" dataDxfId="350" totalsRowDxfId="349" dataCellStyle="Moneda">
      <calculatedColumnFormula>SUM(H8:J8)</calculatedColumnFormula>
    </tableColumn>
  </tableColumns>
  <tableStyleInfo name="TableStyleMedium1" showFirstColumn="0" showLastColumn="0" showRowStripes="1" showColumnStripes="0"/>
</table>
</file>

<file path=xl/tables/table7.xml><?xml version="1.0" encoding="utf-8"?>
<table xmlns="http://schemas.openxmlformats.org/spreadsheetml/2006/main" id="2" name="Taula2" displayName="Taula2" ref="A28:K41" totalsRowCount="1" headerRowDxfId="348" dataDxfId="347" totalsRowDxfId="346" dataCellStyle="Moneda">
  <tableColumns count="11">
    <tableColumn id="1" name="Mes" dataDxfId="345" totalsRowDxfId="344"/>
    <tableColumn id="2" name="Max1 [kW]" dataDxfId="343" totalsRowDxfId="342">
      <calculatedColumnFormula>+B8</calculatedColumnFormula>
    </tableColumn>
    <tableColumn id="3" name="Max2 [kW]" dataDxfId="341" totalsRowDxfId="340">
      <calculatedColumnFormula>+C8</calculatedColumnFormula>
    </tableColumn>
    <tableColumn id="4" name="Max3 [kW]" dataDxfId="339" totalsRowDxfId="338">
      <calculatedColumnFormula>+D8</calculatedColumnFormula>
    </tableColumn>
    <tableColumn id="5" name="PF1 [kW]" dataDxfId="337" totalsRowDxfId="336">
      <calculatedColumnFormula>+IF(B29&lt;(0.85*B$26),0.85*B$26,IF(B29&gt;(1.05*B$26),B29+2*(B29-1.05*B$26),B29))</calculatedColumnFormula>
    </tableColumn>
    <tableColumn id="6" name="PF2 [kW]" dataDxfId="335" totalsRowDxfId="334">
      <calculatedColumnFormula>+IF(C29&lt;(0.85*C$26),0.85*C$26,IF(C29&gt;(1.05*C$26),C29+2*(C29-1.05*C$26),C29))</calculatedColumnFormula>
    </tableColumn>
    <tableColumn id="7" name="PF3 [kW]" dataDxfId="333" totalsRowDxfId="332">
      <calculatedColumnFormula>+IF(D29&lt;(0.85*D$26),0.85*D$26,IF(D29&gt;(1.05*D$26),D29+2*(D29-1.05*D$26),D29))</calculatedColumnFormula>
    </tableColumn>
    <tableColumn id="8" name="CP1 [€/mes]" dataDxfId="331" totalsRowDxfId="330" dataCellStyle="Moneda">
      <calculatedColumnFormula>+H$26*E29/12</calculatedColumnFormula>
    </tableColumn>
    <tableColumn id="9" name="CP2 [€/mes]" dataDxfId="329" totalsRowDxfId="328" dataCellStyle="Moneda">
      <calculatedColumnFormula>+I$26*F29/12</calculatedColumnFormula>
    </tableColumn>
    <tableColumn id="10" name="CP3 [€/mes]" totalsRowLabel="   Terme de potència total anual:   " dataDxfId="327" totalsRowDxfId="326" dataCellStyle="Moneda">
      <calculatedColumnFormula>+J$26*G29/12</calculatedColumnFormula>
    </tableColumn>
    <tableColumn id="11" name="CP [€/mes]" totalsRowFunction="sum" dataDxfId="325" totalsRowDxfId="324" dataCellStyle="Moneda">
      <calculatedColumnFormula>SUM(H29:J29)</calculatedColumnFormula>
    </tableColumn>
  </tableColumns>
  <tableStyleInfo name="TableStyleMedium1" showFirstColumn="0" showLastColumn="0" showRowStripes="1" showColumnStripes="0"/>
</table>
</file>

<file path=xl/tables/table8.xml><?xml version="1.0" encoding="utf-8"?>
<table xmlns="http://schemas.openxmlformats.org/spreadsheetml/2006/main" id="3" name="Taula3" displayName="Taula3" ref="B4:D5" totalsRowShown="0" headerRowDxfId="323" dataDxfId="322">
  <tableColumns count="3">
    <tableColumn id="1" name="PC1" dataDxfId="321">
      <calculatedColumnFormula>+'Entrada de dades'!C11</calculatedColumnFormula>
    </tableColumn>
    <tableColumn id="2" name="PC2" dataDxfId="320">
      <calculatedColumnFormula>+'Entrada de dades'!D11</calculatedColumnFormula>
    </tableColumn>
    <tableColumn id="3" name="PC3" dataDxfId="319">
      <calculatedColumnFormula>+'Entrada de dades'!E11</calculatedColumnFormula>
    </tableColumn>
  </tableColumns>
  <tableStyleInfo name="TableStyleLight8" showFirstColumn="0" showLastColumn="0" showRowStripes="1" showColumnStripes="0"/>
</table>
</file>

<file path=xl/tables/table9.xml><?xml version="1.0" encoding="utf-8"?>
<table xmlns="http://schemas.openxmlformats.org/spreadsheetml/2006/main" id="4" name="Taula4" displayName="Taula4" ref="B25:D26" totalsRowShown="0" headerRowDxfId="318" dataDxfId="317">
  <tableColumns count="3">
    <tableColumn id="1" name="PCO1" dataDxfId="316"/>
    <tableColumn id="2" name="PCO2" dataDxfId="315"/>
    <tableColumn id="3" name="PCO3" dataDxfId="314"/>
  </tableColumns>
  <tableStyleInfo name="TableStyleLight8" showFirstColumn="0" showLastColumn="0" showRowStripes="1" showColumnStripes="0"/>
</table>
</file>

<file path=xl/tables/table10.xml><?xml version="1.0" encoding="utf-8"?>
<table xmlns="http://schemas.openxmlformats.org/spreadsheetml/2006/main" id="6" name="Taula6" displayName="Taula6" ref="H4:J5" totalsRowShown="0" headerRowDxfId="313" dataDxfId="312">
  <tableColumns count="3">
    <tableColumn id="1" name="cp1 [€/kW any]" dataDxfId="311">
      <calculatedColumnFormula>'Entrada de dades'!D2</calculatedColumnFormula>
    </tableColumn>
    <tableColumn id="2" name="cp2 [€/kW any]" dataDxfId="310">
      <calculatedColumnFormula>'Entrada de dades'!E2</calculatedColumnFormula>
    </tableColumn>
    <tableColumn id="3" name="cp3 [€/kW any]" dataDxfId="309">
      <calculatedColumnFormula>'Entrada de dades'!F2</calculatedColumnFormula>
    </tableColumn>
  </tableColumns>
  <tableStyleInfo name="TableStyleMedium15" showFirstColumn="0" showLastColumn="0" showRowStripes="1" showColumnStripes="0"/>
</table>
</file>

<file path=xl/tables/table11.xml><?xml version="1.0" encoding="utf-8"?>
<table xmlns="http://schemas.openxmlformats.org/spreadsheetml/2006/main" id="7" name="Taula7" displayName="Taula7" ref="H25:J26" totalsRowShown="0" headerRowDxfId="308" dataDxfId="307">
  <tableColumns count="3">
    <tableColumn id="1" name="cp1 [€/kW any]" dataDxfId="306">
      <calculatedColumnFormula>+H5</calculatedColumnFormula>
    </tableColumn>
    <tableColumn id="2" name="cp2 [€/kW any]" dataDxfId="305">
      <calculatedColumnFormula>+I5</calculatedColumnFormula>
    </tableColumn>
    <tableColumn id="3" name="cp3 [€/kW any]" dataDxfId="304">
      <calculatedColumnFormula>+J5</calculatedColumnFormula>
    </tableColumn>
  </tableColumns>
  <tableStyleInfo name="TableStyleMedium15" showFirstColumn="0" showLastColumn="0" showRowStripes="1" showColumnStripes="0"/>
</table>
</file>

<file path=xl/tables/table12.xml><?xml version="1.0" encoding="utf-8"?>
<table xmlns="http://schemas.openxmlformats.org/spreadsheetml/2006/main" id="14" name="Taula115" displayName="Taula115" ref="A7:K20" totalsRowCount="1" headerRowDxfId="303" dataDxfId="302" totalsRowDxfId="301" dataCellStyle="Moneda">
  <tableColumns count="11">
    <tableColumn id="1" name="Mes" dataDxfId="300" totalsRowDxfId="299"/>
    <tableColumn id="2" name="Max1 [kW]" dataDxfId="298" totalsRowDxfId="297">
      <calculatedColumnFormula>+'Entrada de dades'!C16</calculatedColumnFormula>
    </tableColumn>
    <tableColumn id="3" name="Max2 [kW]" dataDxfId="296" totalsRowDxfId="295">
      <calculatedColumnFormula>+'Entrada de dades'!D16</calculatedColumnFormula>
    </tableColumn>
    <tableColumn id="4" name="Max3 [kW]" dataDxfId="294" totalsRowDxfId="293">
      <calculatedColumnFormula>+'Entrada de dades'!E16</calculatedColumnFormula>
    </tableColumn>
    <tableColumn id="5" name="PF1 [kW]" dataDxfId="292" totalsRowDxfId="291">
      <calculatedColumnFormula>+IF(B8&lt;(0.85*B$5),0.85*B$5,IF(B8&gt;(1.05*B$5),B8+2*(B8-1.05*B$5),B8))</calculatedColumnFormula>
    </tableColumn>
    <tableColumn id="6" name="PF2 [kW]" dataDxfId="290" totalsRowDxfId="289">
      <calculatedColumnFormula>+IF(C8&lt;(0.85*C$5),0.85*C$5,IF(C8&gt;(1.05*C$5),C8+2*(C8-1.05*C$5),C8))</calculatedColumnFormula>
    </tableColumn>
    <tableColumn id="7" name="PF3 [kW]" dataDxfId="288" totalsRowDxfId="287">
      <calculatedColumnFormula>+IF(D8&lt;(0.85*D$5),0.85*D$5,IF(D8&gt;(1.05*D$5),D8+2*(D8-1.05*D$5),D8))</calculatedColumnFormula>
    </tableColumn>
    <tableColumn id="8" name="CP1 [€/mes]" totalsRowDxfId="286" dataCellStyle="Moneda">
      <calculatedColumnFormula>+H$5*E8/12</calculatedColumnFormula>
    </tableColumn>
    <tableColumn id="9" name="CP2 [€/mes]" totalsRowDxfId="285" dataCellStyle="Moneda">
      <calculatedColumnFormula>+I$5*F8/12</calculatedColumnFormula>
    </tableColumn>
    <tableColumn id="10" name="CP3 [€/mes]" totalsRowLabel="  Terme de potència total anual:  " totalsRowDxfId="284" dataCellStyle="Moneda">
      <calculatedColumnFormula>+J$5*G8/12</calculatedColumnFormula>
    </tableColumn>
    <tableColumn id="11" name="CP [€/mes]" totalsRowFunction="sum" dataDxfId="283" totalsRowDxfId="282" dataCellStyle="Moneda">
      <calculatedColumnFormula>SUM(H8:J8)</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id="16" name="Taula217" displayName="Taula217" ref="A28:K41" totalsRowCount="1" headerRowDxfId="281" dataDxfId="280" totalsRowDxfId="279" dataCellStyle="Moneda">
  <tableColumns count="11">
    <tableColumn id="1" name="Mes" dataDxfId="278" totalsRowDxfId="277"/>
    <tableColumn id="2" name="Max1 [kW]" dataDxfId="276" totalsRowDxfId="275">
      <calculatedColumnFormula>+B8</calculatedColumnFormula>
    </tableColumn>
    <tableColumn id="3" name="Max2 [kW]" dataDxfId="274" totalsRowDxfId="273">
      <calculatedColumnFormula>+C8</calculatedColumnFormula>
    </tableColumn>
    <tableColumn id="4" name="Max3 [kW]" dataDxfId="272" totalsRowDxfId="271">
      <calculatedColumnFormula>+D8</calculatedColumnFormula>
    </tableColumn>
    <tableColumn id="5" name="PF1 [kW]" totalsRowDxfId="270">
      <calculatedColumnFormula>+IF(B29&lt;(0.85*B$26),0.85*B$26,IF(B29&gt;(1.05*B$26),B29+2*(B29-1.05*B$26),B29))</calculatedColumnFormula>
    </tableColumn>
    <tableColumn id="6" name="PF2 [kW]" totalsRowDxfId="269">
      <calculatedColumnFormula>+IF(C29&lt;(0.85*C$26),0.85*C$26,IF(C29&gt;(1.05*C$26),C29+2*(C29-1.05*C$26),C29))</calculatedColumnFormula>
    </tableColumn>
    <tableColumn id="7" name="PF3 [kW]" totalsRowDxfId="268">
      <calculatedColumnFormula>+IF(D29&lt;(0.85*D$26),0.85*D$26,IF(D29&gt;(1.05*D$26),D29+2*(D29-1.05*D$26),D29))</calculatedColumnFormula>
    </tableColumn>
    <tableColumn id="8" name="CP1 [€/mes]" totalsRowDxfId="267" dataCellStyle="Moneda">
      <calculatedColumnFormula>+H$26*E29/12</calculatedColumnFormula>
    </tableColumn>
    <tableColumn id="9" name="CP2 [€/mes]" totalsRowDxfId="266" dataCellStyle="Moneda">
      <calculatedColumnFormula>+I$26*F29/12</calculatedColumnFormula>
    </tableColumn>
    <tableColumn id="10" name="CP3 [€/mes]" totalsRowLabel="   Terme de potència total anual:   " dataDxfId="265" totalsRowDxfId="264" dataCellStyle="Moneda">
      <calculatedColumnFormula>+J$26*G29/12</calculatedColumnFormula>
    </tableColumn>
    <tableColumn id="11" name="CP [€/mes]" totalsRowFunction="sum" dataDxfId="263" totalsRowDxfId="262" dataCellStyle="Moneda">
      <calculatedColumnFormula>SUM(H29:J29)</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id="18" name="Taula319" displayName="Taula319" ref="B4:D5" totalsRowShown="0" headerRowDxfId="261" dataDxfId="260">
  <tableColumns count="3">
    <tableColumn id="1" name="PC1" dataDxfId="259">
      <calculatedColumnFormula>+'Entrada de dades'!C11</calculatedColumnFormula>
    </tableColumn>
    <tableColumn id="2" name="PC2" dataDxfId="258">
      <calculatedColumnFormula>+'Entrada de dades'!D11</calculatedColumnFormula>
    </tableColumn>
    <tableColumn id="3" name="PC3" dataDxfId="257">
      <calculatedColumnFormula>+'Entrada de dades'!E11</calculatedColumnFormula>
    </tableColumn>
  </tableColumns>
  <tableStyleInfo name="TableStyleLight8" showFirstColumn="0" showLastColumn="0" showRowStripes="1" showColumnStripes="0"/>
</table>
</file>

<file path=xl/tables/table15.xml><?xml version="1.0" encoding="utf-8"?>
<table xmlns="http://schemas.openxmlformats.org/spreadsheetml/2006/main" id="19" name="Taula420" displayName="Taula420" ref="B25:D26" totalsRowShown="0" headerRowDxfId="256" dataDxfId="255">
  <tableColumns count="3">
    <tableColumn id="1" name="PCO1" dataDxfId="254"/>
    <tableColumn id="2" name="PCO2" dataDxfId="253"/>
    <tableColumn id="3" name="PCO3" dataDxfId="252"/>
  </tableColumns>
  <tableStyleInfo name="TableStyleLight8" showFirstColumn="0" showLastColumn="0" showRowStripes="1" showColumnStripes="0"/>
</table>
</file>

<file path=xl/tables/table16.xml><?xml version="1.0" encoding="utf-8"?>
<table xmlns="http://schemas.openxmlformats.org/spreadsheetml/2006/main" id="20" name="Taula621" displayName="Taula621" ref="H4:J5" totalsRowShown="0" headerRowDxfId="251" dataDxfId="250">
  <tableColumns count="3">
    <tableColumn id="1" name="cp1 [€/kW any]" dataDxfId="249">
      <calculatedColumnFormula>'Entrada de dades'!D2</calculatedColumnFormula>
    </tableColumn>
    <tableColumn id="2" name="cp2 [€/kW any]" dataDxfId="248">
      <calculatedColumnFormula>'Entrada de dades'!E2</calculatedColumnFormula>
    </tableColumn>
    <tableColumn id="3" name="cp3 [€/kW any]" dataDxfId="247">
      <calculatedColumnFormula>'Entrada de dades'!F2</calculatedColumnFormula>
    </tableColumn>
  </tableColumns>
  <tableStyleInfo name="TableStyleMedium15" showFirstColumn="0" showLastColumn="0" showRowStripes="1" showColumnStripes="0"/>
</table>
</file>

<file path=xl/tables/table17.xml><?xml version="1.0" encoding="utf-8"?>
<table xmlns="http://schemas.openxmlformats.org/spreadsheetml/2006/main" id="21" name="Taula722" displayName="Taula722" ref="H25:J26" totalsRowShown="0" headerRowDxfId="246" dataDxfId="245">
  <tableColumns count="3">
    <tableColumn id="1" name="cp1 [€/kW any]" dataDxfId="244">
      <calculatedColumnFormula>+H5</calculatedColumnFormula>
    </tableColumn>
    <tableColumn id="2" name="cp2 [€/kW any]" dataDxfId="243">
      <calculatedColumnFormula>+I5</calculatedColumnFormula>
    </tableColumn>
    <tableColumn id="3" name="cp3 [€/kW any]" dataDxfId="242">
      <calculatedColumnFormula>+J5</calculatedColumnFormula>
    </tableColumn>
  </tableColumns>
  <tableStyleInfo name="TableStyleMedium15" showFirstColumn="0" showLastColumn="0" showRowStripes="1" showColumnStripes="0"/>
</table>
</file>

<file path=xl/tables/table18.xml><?xml version="1.0" encoding="utf-8"?>
<table xmlns="http://schemas.openxmlformats.org/spreadsheetml/2006/main" id="28" name="Taula129" displayName="Taula129" ref="A7:K20" totalsRowCount="1" headerRowDxfId="241" dataDxfId="240" totalsRowDxfId="239" dataCellStyle="Moneda">
  <tableColumns count="11">
    <tableColumn id="1" name="Mes" dataDxfId="238" totalsRowDxfId="237"/>
    <tableColumn id="2" name="Max1 [kW]" dataDxfId="236" totalsRowDxfId="235">
      <calculatedColumnFormula>+'Entrada de dades'!C16</calculatedColumnFormula>
    </tableColumn>
    <tableColumn id="3" name="Max2 [kW]" dataDxfId="234" totalsRowDxfId="233">
      <calculatedColumnFormula>+'Entrada de dades'!D16</calculatedColumnFormula>
    </tableColumn>
    <tableColumn id="4" name="Max3 [kW]" dataDxfId="232" totalsRowDxfId="231">
      <calculatedColumnFormula>+'Entrada de dades'!E16</calculatedColumnFormula>
    </tableColumn>
    <tableColumn id="5" name="PF1 [kW]" dataDxfId="230" totalsRowDxfId="229">
      <calculatedColumnFormula>+IF(B8&lt;(0.85*B$5),0.85*B$5,IF(B8&gt;(1.05*B$5),B8+2*(B8-1.05*B$5),B8))</calculatedColumnFormula>
    </tableColumn>
    <tableColumn id="6" name="PF2 [kW]" dataDxfId="228" totalsRowDxfId="227">
      <calculatedColumnFormula>+IF(C8&lt;(0.85*C$5),0.85*C$5,IF(C8&gt;(1.05*C$5),C8+2*(C8-1.05*C$5),C8))</calculatedColumnFormula>
    </tableColumn>
    <tableColumn id="7" name="PF3 [kW]" dataDxfId="226" totalsRowDxfId="225">
      <calculatedColumnFormula>+IF(D8&lt;(0.85*D$5),0.85*D$5,IF(D8&gt;(1.05*D$5),D8+2*(D8-1.05*D$5),D8))</calculatedColumnFormula>
    </tableColumn>
    <tableColumn id="8" name="CP1 [€/mes]" totalsRowDxfId="224" dataCellStyle="Moneda">
      <calculatedColumnFormula>+H$5*E8/12</calculatedColumnFormula>
    </tableColumn>
    <tableColumn id="9" name="CP2 [€/mes]" totalsRowDxfId="223" dataCellStyle="Moneda">
      <calculatedColumnFormula>+I$5*F8/12</calculatedColumnFormula>
    </tableColumn>
    <tableColumn id="10" name="CP3 [€/mes]" totalsRowLabel="  Terme de potència total anual:  " totalsRowDxfId="222" dataCellStyle="Moneda">
      <calculatedColumnFormula>+J$5*G8/12</calculatedColumnFormula>
    </tableColumn>
    <tableColumn id="11" name="CP [€/mes]" totalsRowFunction="sum" dataDxfId="221" totalsRowDxfId="220" dataCellStyle="Moneda">
      <calculatedColumnFormula>SUM(H8:J8)</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id="29" name="Taula230" displayName="Taula230" ref="A28:K41" totalsRowCount="1" headerRowDxfId="219" dataDxfId="218" totalsRowDxfId="217" dataCellStyle="Moneda">
  <tableColumns count="11">
    <tableColumn id="1" name="Mes" dataDxfId="216" totalsRowDxfId="215"/>
    <tableColumn id="2" name="Max1 [kW]" dataDxfId="214" totalsRowDxfId="213">
      <calculatedColumnFormula>+B8</calculatedColumnFormula>
    </tableColumn>
    <tableColumn id="3" name="Max2 [kW]" dataDxfId="212" totalsRowDxfId="211">
      <calculatedColumnFormula>+C8</calculatedColumnFormula>
    </tableColumn>
    <tableColumn id="4" name="Max3 [kW]" dataDxfId="210" totalsRowDxfId="209">
      <calculatedColumnFormula>+D8</calculatedColumnFormula>
    </tableColumn>
    <tableColumn id="5" name="PF1 [kW]" totalsRowDxfId="208">
      <calculatedColumnFormula>+IF(B29&lt;(0.85*B$26),0.85*B$26,IF(B29&gt;(1.05*B$26),B29+2*(B29-1.05*B$26),B29))</calculatedColumnFormula>
    </tableColumn>
    <tableColumn id="6" name="PF2 [kW]" totalsRowDxfId="207">
      <calculatedColumnFormula>+IF(C29&lt;(0.85*C$26),0.85*C$26,IF(C29&gt;(1.05*C$26),C29+2*(C29-1.05*C$26),C29))</calculatedColumnFormula>
    </tableColumn>
    <tableColumn id="7" name="PF3 [kW]" totalsRowDxfId="206">
      <calculatedColumnFormula>+IF(D29&lt;(0.85*D$26),0.85*D$26,IF(D29&gt;(1.05*D$26),D29+2*(D29-1.05*D$26),D29))</calculatedColumnFormula>
    </tableColumn>
    <tableColumn id="8" name="CP1 [€/mes]" totalsRowDxfId="205" dataCellStyle="Moneda">
      <calculatedColumnFormula>+H$26*E29/12</calculatedColumnFormula>
    </tableColumn>
    <tableColumn id="9" name="CP2 [€/mes]" totalsRowDxfId="204" dataCellStyle="Moneda">
      <calculatedColumnFormula>+I$26*F29/12</calculatedColumnFormula>
    </tableColumn>
    <tableColumn id="10" name="CP3 [€/mes]" totalsRowLabel="   Terme de potència total anual:   " dataDxfId="203" totalsRowDxfId="202" dataCellStyle="Moneda">
      <calculatedColumnFormula>+J$26*G29/12</calculatedColumnFormula>
    </tableColumn>
    <tableColumn id="11" name="CP [€/mes]" totalsRowFunction="sum" dataDxfId="201" totalsRowDxfId="200" dataCellStyle="Moneda">
      <calculatedColumnFormula>SUM(H29:J29)</calculatedColumnFormula>
    </tableColumn>
  </tableColumns>
  <tableStyleInfo name="TableStyleMedium1" showFirstColumn="0" showLastColumn="0" showRowStripes="1" showColumnStripes="0"/>
</table>
</file>

<file path=xl/tables/table20.xml><?xml version="1.0" encoding="utf-8"?>
<table xmlns="http://schemas.openxmlformats.org/spreadsheetml/2006/main" id="30" name="Taula331" displayName="Taula331" ref="B4:D5" totalsRowShown="0" headerRowDxfId="199" dataDxfId="198">
  <tableColumns count="3">
    <tableColumn id="1" name="PC1" dataDxfId="197">
      <calculatedColumnFormula>+'Entrada de dades'!C11</calculatedColumnFormula>
    </tableColumn>
    <tableColumn id="2" name="PC2" dataDxfId="196">
      <calculatedColumnFormula>+'Entrada de dades'!D11</calculatedColumnFormula>
    </tableColumn>
    <tableColumn id="3" name="PC3" dataDxfId="195">
      <calculatedColumnFormula>+'Entrada de dades'!E11</calculatedColumnFormula>
    </tableColumn>
  </tableColumns>
  <tableStyleInfo name="TableStyleLight8" showFirstColumn="0" showLastColumn="0" showRowStripes="1" showColumnStripes="0"/>
</table>
</file>

<file path=xl/tables/table21.xml><?xml version="1.0" encoding="utf-8"?>
<table xmlns="http://schemas.openxmlformats.org/spreadsheetml/2006/main" id="31" name="Taula432" displayName="Taula432" ref="B25:D26" totalsRowShown="0" headerRowDxfId="194" dataDxfId="193">
  <tableColumns count="3">
    <tableColumn id="1" name="PCO1" dataDxfId="192"/>
    <tableColumn id="2" name="PCO2" dataDxfId="191"/>
    <tableColumn id="3" name="PCO3" dataDxfId="190"/>
  </tableColumns>
  <tableStyleInfo name="TableStyleLight8" showFirstColumn="0" showLastColumn="0" showRowStripes="1" showColumnStripes="0"/>
</table>
</file>

<file path=xl/tables/table22.xml><?xml version="1.0" encoding="utf-8"?>
<table xmlns="http://schemas.openxmlformats.org/spreadsheetml/2006/main" id="32" name="Taula633" displayName="Taula633" ref="H4:J5" totalsRowShown="0" headerRowDxfId="189" dataDxfId="188">
  <tableColumns count="3">
    <tableColumn id="1" name="cp1 [€/kW any]" dataDxfId="187">
      <calculatedColumnFormula>'Entrada de dades'!D2</calculatedColumnFormula>
    </tableColumn>
    <tableColumn id="2" name="cp2 [€/kW any]" dataDxfId="186">
      <calculatedColumnFormula>'Entrada de dades'!E2</calculatedColumnFormula>
    </tableColumn>
    <tableColumn id="3" name="cp3 [€/kW any]" dataDxfId="185">
      <calculatedColumnFormula>'Entrada de dades'!F2</calculatedColumnFormula>
    </tableColumn>
  </tableColumns>
  <tableStyleInfo name="TableStyleMedium15" showFirstColumn="0" showLastColumn="0" showRowStripes="1" showColumnStripes="0"/>
</table>
</file>

<file path=xl/tables/table23.xml><?xml version="1.0" encoding="utf-8"?>
<table xmlns="http://schemas.openxmlformats.org/spreadsheetml/2006/main" id="33" name="Taula734" displayName="Taula734" ref="H25:J26" totalsRowShown="0" headerRowDxfId="184" dataDxfId="183">
  <tableColumns count="3">
    <tableColumn id="1" name="cp1 [€/kW any]" dataDxfId="182">
      <calculatedColumnFormula>+H5</calculatedColumnFormula>
    </tableColumn>
    <tableColumn id="2" name="cp2 [€/kW any]" dataDxfId="181">
      <calculatedColumnFormula>+I5</calculatedColumnFormula>
    </tableColumn>
    <tableColumn id="3" name="cp3 [€/kW any]" dataDxfId="180">
      <calculatedColumnFormula>+J5</calculatedColumnFormula>
    </tableColumn>
  </tableColumns>
  <tableStyleInfo name="TableStyleMedium15" showFirstColumn="0" showLastColumn="0" showRowStripes="1" showColumnStripes="0"/>
</table>
</file>

<file path=xl/tables/table24.xml><?xml version="1.0" encoding="utf-8"?>
<table xmlns="http://schemas.openxmlformats.org/spreadsheetml/2006/main" id="22" name="Taula11523" displayName="Taula11523" ref="A7:K20" totalsRowCount="1" headerRowDxfId="179" dataDxfId="178" totalsRowDxfId="177" dataCellStyle="Moneda">
  <tableColumns count="11">
    <tableColumn id="1" name="Mes" dataDxfId="176" totalsRowDxfId="175"/>
    <tableColumn id="2" name="Max1 [kW]" dataDxfId="174" totalsRowDxfId="173">
      <calculatedColumnFormula>+'Entrada de dades'!C16</calculatedColumnFormula>
    </tableColumn>
    <tableColumn id="3" name="Max2 [kW]" dataDxfId="172" totalsRowDxfId="171">
      <calculatedColumnFormula>+'Entrada de dades'!D16</calculatedColumnFormula>
    </tableColumn>
    <tableColumn id="4" name="Max3 [kW]" dataDxfId="170" totalsRowDxfId="169">
      <calculatedColumnFormula>+'Entrada de dades'!E16</calculatedColumnFormula>
    </tableColumn>
    <tableColumn id="5" name="PF1 [kW]" dataDxfId="168" totalsRowDxfId="167">
      <calculatedColumnFormula>+IF(B8&lt;(0.85*B$5),0.85*B$5,IF(B8&gt;(1.05*B$5),B8+2*(B8-1.05*B$5),B8))</calculatedColumnFormula>
    </tableColumn>
    <tableColumn id="6" name="PF2 [kW]" dataDxfId="166" totalsRowDxfId="165">
      <calculatedColumnFormula>+IF(C8&lt;(0.85*C$5),0.85*C$5,IF(C8&gt;(1.05*C$5),C8+2*(C8-1.05*C$5),C8))</calculatedColumnFormula>
    </tableColumn>
    <tableColumn id="7" name="PF3 [kW]" dataDxfId="164" totalsRowDxfId="163">
      <calculatedColumnFormula>+IF(D8&lt;(0.85*D$5),0.85*D$5,IF(D8&gt;(1.05*D$5),D8+2*(D8-1.05*D$5),D8))</calculatedColumnFormula>
    </tableColumn>
    <tableColumn id="8" name="CP1 [€/mes]" totalsRowDxfId="162" dataCellStyle="Moneda">
      <calculatedColumnFormula>+H$5*E8/12</calculatedColumnFormula>
    </tableColumn>
    <tableColumn id="9" name="CP2 [€/mes]" totalsRowDxfId="161" dataCellStyle="Moneda">
      <calculatedColumnFormula>+I$5*F8/12</calculatedColumnFormula>
    </tableColumn>
    <tableColumn id="10" name="CP3 [€/mes]" totalsRowLabel="  Terme de potència total anual:  " totalsRowDxfId="160" dataCellStyle="Moneda">
      <calculatedColumnFormula>+J$5*G8/12</calculatedColumnFormula>
    </tableColumn>
    <tableColumn id="11" name="CP [€/mes]" totalsRowFunction="sum" dataDxfId="159" totalsRowDxfId="158" dataCellStyle="Moneda">
      <calculatedColumnFormula>SUM(H8:J8)</calculatedColumnFormula>
    </tableColumn>
  </tableColumns>
  <tableStyleInfo name="TableStyleMedium1" showFirstColumn="0" showLastColumn="0" showRowStripes="1" showColumnStripes="0"/>
</table>
</file>

<file path=xl/tables/table25.xml><?xml version="1.0" encoding="utf-8"?>
<table xmlns="http://schemas.openxmlformats.org/spreadsheetml/2006/main" id="23" name="Taula21724" displayName="Taula21724" ref="A28:K41" totalsRowCount="1" headerRowDxfId="157" dataDxfId="156" totalsRowDxfId="155" dataCellStyle="Moneda">
  <tableColumns count="11">
    <tableColumn id="1" name="Mes" dataDxfId="154" totalsRowDxfId="153"/>
    <tableColumn id="2" name="Max1 [kW]" dataDxfId="152" totalsRowDxfId="151">
      <calculatedColumnFormula>+B8</calculatedColumnFormula>
    </tableColumn>
    <tableColumn id="3" name="Max2 [kW]" dataDxfId="150" totalsRowDxfId="149">
      <calculatedColumnFormula>+C8</calculatedColumnFormula>
    </tableColumn>
    <tableColumn id="4" name="Max3 [kW]" dataDxfId="148" totalsRowDxfId="147">
      <calculatedColumnFormula>+D8</calculatedColumnFormula>
    </tableColumn>
    <tableColumn id="5" name="PF1 [kW]" totalsRowDxfId="146">
      <calculatedColumnFormula>+IF(B29&lt;(0.85*B$26),0.85*B$26,IF(B29&gt;(1.05*B$26),B29+2*(B29-1.05*B$26),B29))</calculatedColumnFormula>
    </tableColumn>
    <tableColumn id="6" name="PF2 [kW]" totalsRowDxfId="145">
      <calculatedColumnFormula>+IF(C29&lt;(0.85*C$26),0.85*C$26,IF(C29&gt;(1.05*C$26),C29+2*(C29-1.05*C$26),C29))</calculatedColumnFormula>
    </tableColumn>
    <tableColumn id="7" name="PF3 [kW]" totalsRowDxfId="144">
      <calculatedColumnFormula>+IF(D29&lt;(0.85*D$26),0.85*D$26,IF(D29&gt;(1.05*D$26),D29+2*(D29-1.05*D$26),D29))</calculatedColumnFormula>
    </tableColumn>
    <tableColumn id="8" name="CP1 [€/mes]" totalsRowDxfId="143" dataCellStyle="Moneda">
      <calculatedColumnFormula>+H$26*E29/12</calculatedColumnFormula>
    </tableColumn>
    <tableColumn id="9" name="CP2 [€/mes]" totalsRowDxfId="142" dataCellStyle="Moneda">
      <calculatedColumnFormula>+I$26*F29/12</calculatedColumnFormula>
    </tableColumn>
    <tableColumn id="10" name="CP3 [€/mes]" totalsRowLabel="   Terme de potència total anual:   " dataDxfId="141" totalsRowDxfId="140" dataCellStyle="Moneda">
      <calculatedColumnFormula>+J$26*G29/12</calculatedColumnFormula>
    </tableColumn>
    <tableColumn id="11" name="CP [€/mes]" totalsRowFunction="sum" dataDxfId="139" totalsRowDxfId="138" dataCellStyle="Moneda">
      <calculatedColumnFormula>SUM(H29:J29)</calculatedColumnFormula>
    </tableColumn>
  </tableColumns>
  <tableStyleInfo name="TableStyleMedium1" showFirstColumn="0" showLastColumn="0" showRowStripes="1" showColumnStripes="0"/>
</table>
</file>

<file path=xl/tables/table26.xml><?xml version="1.0" encoding="utf-8"?>
<table xmlns="http://schemas.openxmlformats.org/spreadsheetml/2006/main" id="24" name="Taula31925" displayName="Taula31925" ref="B4:D5" totalsRowShown="0" headerRowDxfId="137" dataDxfId="136">
  <tableColumns count="3">
    <tableColumn id="1" name="PC1" dataDxfId="135">
      <calculatedColumnFormula>+'Entrada de dades'!C11</calculatedColumnFormula>
    </tableColumn>
    <tableColumn id="2" name="PC2" dataDxfId="134">
      <calculatedColumnFormula>+'Entrada de dades'!D11</calculatedColumnFormula>
    </tableColumn>
    <tableColumn id="3" name="PC3" dataDxfId="133">
      <calculatedColumnFormula>+'Entrada de dades'!E11</calculatedColumnFormula>
    </tableColumn>
  </tableColumns>
  <tableStyleInfo name="TableStyleLight8" showFirstColumn="0" showLastColumn="0" showRowStripes="1" showColumnStripes="0"/>
</table>
</file>

<file path=xl/tables/table27.xml><?xml version="1.0" encoding="utf-8"?>
<table xmlns="http://schemas.openxmlformats.org/spreadsheetml/2006/main" id="25" name="Taula42026" displayName="Taula42026" ref="B25:D26" totalsRowShown="0" headerRowDxfId="132" dataDxfId="131">
  <tableColumns count="3">
    <tableColumn id="1" name="PCO1" dataDxfId="130"/>
    <tableColumn id="2" name="PCO2" dataDxfId="129"/>
    <tableColumn id="3" name="PCO3" dataDxfId="128"/>
  </tableColumns>
  <tableStyleInfo name="TableStyleLight8" showFirstColumn="0" showLastColumn="0" showRowStripes="1" showColumnStripes="0"/>
</table>
</file>

<file path=xl/tables/table28.xml><?xml version="1.0" encoding="utf-8"?>
<table xmlns="http://schemas.openxmlformats.org/spreadsheetml/2006/main" id="26" name="Taula62127" displayName="Taula62127" ref="H4:J5" totalsRowShown="0" headerRowDxfId="127" dataDxfId="126">
  <tableColumns count="3">
    <tableColumn id="1" name="cp1 [€/kW any]" dataDxfId="125">
      <calculatedColumnFormula>'Entrada de dades'!D2</calculatedColumnFormula>
    </tableColumn>
    <tableColumn id="2" name="cp2 [€/kW any]" dataDxfId="124">
      <calculatedColumnFormula>'Entrada de dades'!E2</calculatedColumnFormula>
    </tableColumn>
    <tableColumn id="3" name="cp3 [€/kW any]" dataDxfId="123">
      <calculatedColumnFormula>'Entrada de dades'!F2</calculatedColumnFormula>
    </tableColumn>
  </tableColumns>
  <tableStyleInfo name="TableStyleMedium15" showFirstColumn="0" showLastColumn="0" showRowStripes="1" showColumnStripes="0"/>
</table>
</file>

<file path=xl/tables/table29.xml><?xml version="1.0" encoding="utf-8"?>
<table xmlns="http://schemas.openxmlformats.org/spreadsheetml/2006/main" id="27" name="Taula72228" displayName="Taula72228" ref="H25:J26" totalsRowShown="0" headerRowDxfId="122" dataDxfId="121">
  <tableColumns count="3">
    <tableColumn id="1" name="cp1 [€/kW any]" dataDxfId="120">
      <calculatedColumnFormula>+H5</calculatedColumnFormula>
    </tableColumn>
    <tableColumn id="2" name="cp2 [€/kW any]" dataDxfId="119">
      <calculatedColumnFormula>+I5</calculatedColumnFormula>
    </tableColumn>
    <tableColumn id="3" name="cp3 [€/kW any]" dataDxfId="118">
      <calculatedColumnFormula>+J5</calculatedColumnFormula>
    </tableColumn>
  </tableColumns>
  <tableStyleInfo name="TableStyleMedium15" showFirstColumn="0" showLastColumn="0" showRowStripes="1" showColumnStripes="0"/>
</table>
</file>

<file path=xl/tables/table30.xml><?xml version="1.0" encoding="utf-8"?>
<table xmlns="http://schemas.openxmlformats.org/spreadsheetml/2006/main" id="34" name="Taula1635" displayName="Taula1635" ref="A7:K20" totalsRowCount="1" headerRowDxfId="117" dataDxfId="116" totalsRowDxfId="115" dataCellStyle="Moneda">
  <tableColumns count="11">
    <tableColumn id="1" name="Mes" dataDxfId="114" totalsRowDxfId="113"/>
    <tableColumn id="2" name="Max1 [kW]" dataDxfId="112" totalsRowDxfId="111">
      <calculatedColumnFormula>+'Entrada de dades'!C16</calculatedColumnFormula>
    </tableColumn>
    <tableColumn id="3" name="Max2 [kW]" dataDxfId="110" totalsRowDxfId="109">
      <calculatedColumnFormula>+'Entrada de dades'!D16</calculatedColumnFormula>
    </tableColumn>
    <tableColumn id="4" name="Max3 [kW]" dataDxfId="108" totalsRowDxfId="107">
      <calculatedColumnFormula>+'Entrada de dades'!E16</calculatedColumnFormula>
    </tableColumn>
    <tableColumn id="5" name="PF1 [kW]" totalsRowDxfId="106">
      <calculatedColumnFormula>+IF(B8&lt;(0.85*B$5),0.85*B$5,IF(B8&gt;(1.05*B$5),B8+2*(B8-1.05*B$5),B8))</calculatedColumnFormula>
    </tableColumn>
    <tableColumn id="6" name="PF2 [kW]" totalsRowDxfId="105">
      <calculatedColumnFormula>+IF(C8&lt;(0.85*C$5),0.85*C$5,IF(C8&gt;(1.05*C$5),C8+2*(C8-1.05*C$5),C8))</calculatedColumnFormula>
    </tableColumn>
    <tableColumn id="7" name="PF3 [kW]" totalsRowDxfId="104">
      <calculatedColumnFormula>+IF(D8&lt;(0.85*D$5),0.85*D$5,IF(D8&gt;(1.05*D$5),D8+2*(D8-1.05*D$5),D8))</calculatedColumnFormula>
    </tableColumn>
    <tableColumn id="8" name="CP1 [€/mes]" totalsRowDxfId="103" dataCellStyle="Moneda">
      <calculatedColumnFormula>+H$5*E8/12</calculatedColumnFormula>
    </tableColumn>
    <tableColumn id="9" name="CP2 [€/mes]" totalsRowDxfId="102" dataCellStyle="Moneda">
      <calculatedColumnFormula>+I$5*F8/12</calculatedColumnFormula>
    </tableColumn>
    <tableColumn id="10" name="CP3 [€/mes]" totalsRowLabel="  Terme de potència total anual:  " totalsRowDxfId="101" dataCellStyle="Moneda">
      <calculatedColumnFormula>+J$5*G8/12</calculatedColumnFormula>
    </tableColumn>
    <tableColumn id="11" name="CP [€/mes]" totalsRowFunction="sum" dataDxfId="100" totalsRowDxfId="99" dataCellStyle="Moneda">
      <calculatedColumnFormula>SUM(H8:J8)</calculatedColumnFormula>
    </tableColumn>
  </tableColumns>
  <tableStyleInfo name="TableStyleMedium1" showFirstColumn="0" showLastColumn="0" showRowStripes="1" showColumnStripes="0"/>
</table>
</file>

<file path=xl/tables/table31.xml><?xml version="1.0" encoding="utf-8"?>
<table xmlns="http://schemas.openxmlformats.org/spreadsheetml/2006/main" id="35" name="Taula2936" displayName="Taula2936" ref="A28:K41" totalsRowCount="1" headerRowDxfId="98" dataDxfId="97" totalsRowDxfId="96" dataCellStyle="Moneda">
  <tableColumns count="11">
    <tableColumn id="1" name="Mes" dataDxfId="95" totalsRowDxfId="94"/>
    <tableColumn id="2" name="Max1 [kW]" dataDxfId="93" totalsRowDxfId="92">
      <calculatedColumnFormula>+B8</calculatedColumnFormula>
    </tableColumn>
    <tableColumn id="3" name="Max2 [kW]" dataDxfId="91" totalsRowDxfId="90">
      <calculatedColumnFormula>+C8</calculatedColumnFormula>
    </tableColumn>
    <tableColumn id="4" name="Max3 [kW]" dataDxfId="89" totalsRowDxfId="88">
      <calculatedColumnFormula>+D8</calculatedColumnFormula>
    </tableColumn>
    <tableColumn id="5" name="PF1 [kW]" totalsRowDxfId="87">
      <calculatedColumnFormula>+IF(B29&lt;(0.85*B$26),0.85*B$26,IF(B29&gt;(1.05*B$26),B29+2*(B29-1.05*B$26),B29))</calculatedColumnFormula>
    </tableColumn>
    <tableColumn id="6" name="PF2 [kW]" totalsRowDxfId="86">
      <calculatedColumnFormula>+IF(C29&lt;(0.85*C$26),0.85*C$26,IF(C29&gt;(1.05*C$26),C29+2*(C29-1.05*C$26),C29))</calculatedColumnFormula>
    </tableColumn>
    <tableColumn id="7" name="PF3 [kW]" totalsRowDxfId="85">
      <calculatedColumnFormula>+IF(D29&lt;(0.85*D$26),0.85*D$26,IF(D29&gt;(1.05*D$26),D29+2*(D29-1.05*D$26),D29))</calculatedColumnFormula>
    </tableColumn>
    <tableColumn id="8" name="CP1 [€/mes]" totalsRowDxfId="84" dataCellStyle="Moneda">
      <calculatedColumnFormula>+H$26*E29/12</calculatedColumnFormula>
    </tableColumn>
    <tableColumn id="9" name="CP2 [€/mes]" totalsRowDxfId="83" dataCellStyle="Moneda">
      <calculatedColumnFormula>+I$26*F29/12</calculatedColumnFormula>
    </tableColumn>
    <tableColumn id="10" name="CP3 [€/mes]" totalsRowLabel="   Terme de potència total anual:   " dataDxfId="82" totalsRowDxfId="81" dataCellStyle="Moneda">
      <calculatedColumnFormula>+J$26*G29/12</calculatedColumnFormula>
    </tableColumn>
    <tableColumn id="11" name="CP [€/mes]" totalsRowFunction="sum" dataDxfId="80" totalsRowDxfId="79" dataCellStyle="Moneda">
      <calculatedColumnFormula>SUM(H29:J29)</calculatedColumnFormula>
    </tableColumn>
  </tableColumns>
  <tableStyleInfo name="TableStyleMedium1" showFirstColumn="0" showLastColumn="0" showRowStripes="1" showColumnStripes="0"/>
</table>
</file>

<file path=xl/tables/table32.xml><?xml version="1.0" encoding="utf-8"?>
<table xmlns="http://schemas.openxmlformats.org/spreadsheetml/2006/main" id="36" name="Taula31037" displayName="Taula31037" ref="B4:D5" totalsRowShown="0" headerRowDxfId="78" dataDxfId="77">
  <tableColumns count="3">
    <tableColumn id="1" name="PC1" dataDxfId="76">
      <calculatedColumnFormula>+'Entrada de dades'!C11</calculatedColumnFormula>
    </tableColumn>
    <tableColumn id="2" name="PC2" dataDxfId="75">
      <calculatedColumnFormula>+'Entrada de dades'!D11</calculatedColumnFormula>
    </tableColumn>
    <tableColumn id="3" name="PC3" dataDxfId="74">
      <calculatedColumnFormula>+'Entrada de dades'!E11</calculatedColumnFormula>
    </tableColumn>
  </tableColumns>
  <tableStyleInfo name="TableStyleLight8" showFirstColumn="0" showLastColumn="0" showRowStripes="1" showColumnStripes="0"/>
</table>
</file>

<file path=xl/tables/table33.xml><?xml version="1.0" encoding="utf-8"?>
<table xmlns="http://schemas.openxmlformats.org/spreadsheetml/2006/main" id="37" name="Taula41138" displayName="Taula41138" ref="B25:D26" totalsRowShown="0" headerRowDxfId="73" dataDxfId="72">
  <tableColumns count="3">
    <tableColumn id="1" name="PCO1" dataDxfId="71"/>
    <tableColumn id="2" name="PCO2" dataDxfId="70"/>
    <tableColumn id="3" name="PCO3" dataDxfId="69"/>
  </tableColumns>
  <tableStyleInfo name="TableStyleLight8" showFirstColumn="0" showLastColumn="0" showRowStripes="1" showColumnStripes="0"/>
</table>
</file>

<file path=xl/tables/table34.xml><?xml version="1.0" encoding="utf-8"?>
<table xmlns="http://schemas.openxmlformats.org/spreadsheetml/2006/main" id="38" name="Taula61239" displayName="Taula61239" ref="H4:J5" totalsRowShown="0" headerRowDxfId="68" dataDxfId="67">
  <tableColumns count="3">
    <tableColumn id="1" name="cp1 [€/kW any]" dataDxfId="66">
      <calculatedColumnFormula>'Entrada de dades'!D3</calculatedColumnFormula>
    </tableColumn>
    <tableColumn id="2" name="cp2 [€/kW any]" dataDxfId="65">
      <calculatedColumnFormula>'Entrada de dades'!E3</calculatedColumnFormula>
    </tableColumn>
    <tableColumn id="3" name="cp3 [€/kW any]" dataDxfId="64">
      <calculatedColumnFormula>'Entrada de dades'!F3</calculatedColumnFormula>
    </tableColumn>
  </tableColumns>
  <tableStyleInfo name="TableStyleMedium15" showFirstColumn="0" showLastColumn="0" showRowStripes="1" showColumnStripes="0"/>
</table>
</file>

<file path=xl/tables/table35.xml><?xml version="1.0" encoding="utf-8"?>
<table xmlns="http://schemas.openxmlformats.org/spreadsheetml/2006/main" id="39" name="Taula71340" displayName="Taula71340" ref="H25:J26" totalsRowShown="0" headerRowDxfId="63" dataDxfId="62">
  <tableColumns count="3">
    <tableColumn id="1" name="cp1 [€/kW any]" dataDxfId="61">
      <calculatedColumnFormula>Taula61239[cp1 '[€/kW any']]</calculatedColumnFormula>
    </tableColumn>
    <tableColumn id="2" name="cp2 [€/kW any]" dataDxfId="60">
      <calculatedColumnFormula>Taula61239[cp2 '[€/kW any']]</calculatedColumnFormula>
    </tableColumn>
    <tableColumn id="3" name="cp3 [€/kW any]" dataDxfId="59">
      <calculatedColumnFormula>Taula61239[cp3 '[€/kW any']]</calculatedColumnFormula>
    </tableColumn>
  </tableColumns>
  <tableStyleInfo name="TableStyleMedium15" showFirstColumn="0" showLastColumn="0" showRowStripes="1" showColumnStripes="0"/>
</table>
</file>

<file path=xl/tables/table36.xml><?xml version="1.0" encoding="utf-8"?>
<table xmlns="http://schemas.openxmlformats.org/spreadsheetml/2006/main" id="5" name="Taula16" displayName="Taula16" ref="A7:K20" totalsRowCount="1" headerRowDxfId="58" dataDxfId="57" totalsRowDxfId="56" dataCellStyle="Moneda">
  <tableColumns count="11">
    <tableColumn id="1" name="Mes" dataDxfId="55" totalsRowDxfId="54"/>
    <tableColumn id="2" name="Max1 [kW]" dataDxfId="53" totalsRowDxfId="52">
      <calculatedColumnFormula>+'Entrada de dades'!C16</calculatedColumnFormula>
    </tableColumn>
    <tableColumn id="3" name="Max2 [kW]" dataDxfId="51" totalsRowDxfId="50">
      <calculatedColumnFormula>+'Entrada de dades'!D16</calculatedColumnFormula>
    </tableColumn>
    <tableColumn id="4" name="Max3 [kW]" dataDxfId="49" totalsRowDxfId="48">
      <calculatedColumnFormula>+'Entrada de dades'!E16</calculatedColumnFormula>
    </tableColumn>
    <tableColumn id="5" name="PF1 [kW]" totalsRowDxfId="47">
      <calculatedColumnFormula>+IF(B8&lt;(0.85*B$5),0.85*B$5,IF(B8&gt;(1.05*B$5),B8+2*(B8-1.05*B$5),B8))</calculatedColumnFormula>
    </tableColumn>
    <tableColumn id="6" name="PF2 [kW]" totalsRowDxfId="46">
      <calculatedColumnFormula>+IF(C8&lt;(0.85*C$5),0.85*C$5,IF(C8&gt;(1.05*C$5),C8+2*(C8-1.05*C$5),C8))</calculatedColumnFormula>
    </tableColumn>
    <tableColumn id="7" name="PF3 [kW]" totalsRowDxfId="45">
      <calculatedColumnFormula>+IF(D8&lt;(0.85*D$5),0.85*D$5,IF(D8&gt;(1.05*D$5),D8+2*(D8-1.05*D$5),D8))</calculatedColumnFormula>
    </tableColumn>
    <tableColumn id="8" name="CP1 [€/mes]" totalsRowDxfId="44" dataCellStyle="Moneda">
      <calculatedColumnFormula>+H$5*E8/12</calculatedColumnFormula>
    </tableColumn>
    <tableColumn id="9" name="CP2 [€/mes]" totalsRowDxfId="43" dataCellStyle="Moneda">
      <calculatedColumnFormula>+I$5*F8/12</calculatedColumnFormula>
    </tableColumn>
    <tableColumn id="10" name="CP3 [€/mes]" totalsRowLabel="  Terme de potència total anual:  " totalsRowDxfId="42" dataCellStyle="Moneda">
      <calculatedColumnFormula>+J$5*G8/12</calculatedColumnFormula>
    </tableColumn>
    <tableColumn id="11" name="CP [€/mes]" totalsRowFunction="sum" dataDxfId="41" totalsRowDxfId="40" dataCellStyle="Moneda">
      <calculatedColumnFormula>SUM(H8:J8)</calculatedColumnFormula>
    </tableColumn>
  </tableColumns>
  <tableStyleInfo name="TableStyleMedium1" showFirstColumn="0" showLastColumn="0" showRowStripes="1" showColumnStripes="0"/>
</table>
</file>

<file path=xl/tables/table37.xml><?xml version="1.0" encoding="utf-8"?>
<table xmlns="http://schemas.openxmlformats.org/spreadsheetml/2006/main" id="8" name="Taula29" displayName="Taula29" ref="A28:K41" totalsRowCount="1" headerRowDxfId="39" dataDxfId="38" totalsRowDxfId="37" dataCellStyle="Moneda">
  <tableColumns count="11">
    <tableColumn id="1" name="Mes" dataDxfId="36" totalsRowDxfId="35"/>
    <tableColumn id="2" name="Max1 [kW]" dataDxfId="34" totalsRowDxfId="33">
      <calculatedColumnFormula>+B8</calculatedColumnFormula>
    </tableColumn>
    <tableColumn id="3" name="Max2 [kW]" dataDxfId="32" totalsRowDxfId="31">
      <calculatedColumnFormula>+C8</calculatedColumnFormula>
    </tableColumn>
    <tableColumn id="4" name="Max3 [kW]" dataDxfId="30" totalsRowDxfId="29">
      <calculatedColumnFormula>+D8</calculatedColumnFormula>
    </tableColumn>
    <tableColumn id="5" name="PF1 [kW]" totalsRowDxfId="28">
      <calculatedColumnFormula>+IF(B29&lt;(0.85*B$26),0.85*B$26,IF(B29&gt;(1.05*B$26),B29+2*(B29-1.05*B$26),B29))</calculatedColumnFormula>
    </tableColumn>
    <tableColumn id="6" name="PF2 [kW]" totalsRowDxfId="27">
      <calculatedColumnFormula>+IF(C29&lt;(0.85*C$26),0.85*C$26,IF(C29&gt;(1.05*C$26),C29+2*(C29-1.05*C$26),C29))</calculatedColumnFormula>
    </tableColumn>
    <tableColumn id="7" name="PF3 [kW]" totalsRowDxfId="26">
      <calculatedColumnFormula>+IF(D29&lt;(0.85*D$26),0.85*D$26,IF(D29&gt;(1.05*D$26),D29+2*(D29-1.05*D$26),D29))</calculatedColumnFormula>
    </tableColumn>
    <tableColumn id="8" name="CP1 [€/mes]" totalsRowDxfId="25" dataCellStyle="Moneda">
      <calculatedColumnFormula>+H$26*E29/12</calculatedColumnFormula>
    </tableColumn>
    <tableColumn id="9" name="CP2 [€/mes]" totalsRowDxfId="24" dataCellStyle="Moneda">
      <calculatedColumnFormula>+I$26*F29/12</calculatedColumnFormula>
    </tableColumn>
    <tableColumn id="10" name="CP3 [€/mes]" totalsRowLabel="   Terme de potència total anual:   " dataDxfId="23" totalsRowDxfId="22" dataCellStyle="Moneda">
      <calculatedColumnFormula>+J$26*G29/12</calculatedColumnFormula>
    </tableColumn>
    <tableColumn id="11" name="CP [€/mes]" totalsRowFunction="sum" dataDxfId="21" totalsRowDxfId="20" dataCellStyle="Moneda">
      <calculatedColumnFormula>SUM(H29:J29)</calculatedColumnFormula>
    </tableColumn>
  </tableColumns>
  <tableStyleInfo name="TableStyleMedium1" showFirstColumn="0" showLastColumn="0" showRowStripes="1" showColumnStripes="0"/>
</table>
</file>

<file path=xl/tables/table38.xml><?xml version="1.0" encoding="utf-8"?>
<table xmlns="http://schemas.openxmlformats.org/spreadsheetml/2006/main" id="9" name="Taula310" displayName="Taula310" ref="B4:D5" totalsRowShown="0" headerRowDxfId="19" dataDxfId="18">
  <tableColumns count="3">
    <tableColumn id="1" name="PC1" dataDxfId="17">
      <calculatedColumnFormula>+'Entrada de dades'!C11</calculatedColumnFormula>
    </tableColumn>
    <tableColumn id="2" name="PC2" dataDxfId="16">
      <calculatedColumnFormula>+'Entrada de dades'!D11</calculatedColumnFormula>
    </tableColumn>
    <tableColumn id="3" name="PC3" dataDxfId="15">
      <calculatedColumnFormula>+'Entrada de dades'!E11</calculatedColumnFormula>
    </tableColumn>
  </tableColumns>
  <tableStyleInfo name="TableStyleLight8" showFirstColumn="0" showLastColumn="0" showRowStripes="1" showColumnStripes="0"/>
</table>
</file>

<file path=xl/tables/table39.xml><?xml version="1.0" encoding="utf-8"?>
<table xmlns="http://schemas.openxmlformats.org/spreadsheetml/2006/main" id="10" name="Taula411" displayName="Taula411" ref="B25:D26" totalsRowShown="0" headerRowDxfId="14" dataDxfId="13">
  <tableColumns count="3">
    <tableColumn id="1" name="PCO1" dataDxfId="12"/>
    <tableColumn id="2" name="PCO2" dataDxfId="11"/>
    <tableColumn id="3" name="PCO3" dataDxfId="10"/>
  </tableColumns>
  <tableStyleInfo name="TableStyleLight8" showFirstColumn="0" showLastColumn="0" showRowStripes="1" showColumnStripes="0"/>
</table>
</file>

<file path=xl/tables/table40.xml><?xml version="1.0" encoding="utf-8"?>
<table xmlns="http://schemas.openxmlformats.org/spreadsheetml/2006/main" id="11" name="Taula612" displayName="Taula612" ref="H4:J5" totalsRowShown="0" headerRowDxfId="9" dataDxfId="8">
  <tableColumns count="3">
    <tableColumn id="1" name="cp1 [€/kW any]" dataDxfId="7">
      <calculatedColumnFormula>'Entrada de dades'!D3</calculatedColumnFormula>
    </tableColumn>
    <tableColumn id="2" name="cp2 [€/kW any]" dataDxfId="6">
      <calculatedColumnFormula>'Entrada de dades'!E3</calculatedColumnFormula>
    </tableColumn>
    <tableColumn id="3" name="cp3 [€/kW any]" dataDxfId="5">
      <calculatedColumnFormula>'Entrada de dades'!F3</calculatedColumnFormula>
    </tableColumn>
  </tableColumns>
  <tableStyleInfo name="TableStyleMedium15" showFirstColumn="0" showLastColumn="0" showRowStripes="1" showColumnStripes="0"/>
</table>
</file>

<file path=xl/tables/table41.xml><?xml version="1.0" encoding="utf-8"?>
<table xmlns="http://schemas.openxmlformats.org/spreadsheetml/2006/main" id="12" name="Taula713" displayName="Taula713" ref="H25:J26" totalsRowShown="0" headerRowDxfId="4" dataDxfId="3">
  <tableColumns count="3">
    <tableColumn id="1" name="cp1 [€/kW any]" dataDxfId="2">
      <calculatedColumnFormula>Taula612[cp1 '[€/kW any']]</calculatedColumnFormula>
    </tableColumn>
    <tableColumn id="2" name="cp2 [€/kW any]" dataDxfId="1">
      <calculatedColumnFormula>Taula612[cp2 '[€/kW any']]</calculatedColumnFormula>
    </tableColumn>
    <tableColumn id="3" name="cp3 [€/kW any]" dataDxfId="0">
      <calculatedColumnFormula>Taula612[cp3 '[€/kW any']]</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Tema de l'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4.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printerSettings" Target="../printerSettings/printerSettings5.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9.xml"/><Relationship Id="rId7" Type="http://schemas.openxmlformats.org/officeDocument/2006/relationships/table" Target="../tables/table23.xml"/><Relationship Id="rId2" Type="http://schemas.openxmlformats.org/officeDocument/2006/relationships/table" Target="../tables/table18.xml"/><Relationship Id="rId1" Type="http://schemas.openxmlformats.org/officeDocument/2006/relationships/printerSettings" Target="../printerSettings/printerSettings6.bin"/><Relationship Id="rId6" Type="http://schemas.openxmlformats.org/officeDocument/2006/relationships/table" Target="../tables/table22.xml"/><Relationship Id="rId5" Type="http://schemas.openxmlformats.org/officeDocument/2006/relationships/table" Target="../tables/table21.xml"/><Relationship Id="rId4"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5.xml"/><Relationship Id="rId7" Type="http://schemas.openxmlformats.org/officeDocument/2006/relationships/table" Target="../tables/table29.xml"/><Relationship Id="rId2" Type="http://schemas.openxmlformats.org/officeDocument/2006/relationships/table" Target="../tables/table24.xml"/><Relationship Id="rId1" Type="http://schemas.openxmlformats.org/officeDocument/2006/relationships/printerSettings" Target="../printerSettings/printerSettings7.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table" Target="../tables/table30.xml"/><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table" Target="../tables/table36.xml"/><Relationship Id="rId6" Type="http://schemas.openxmlformats.org/officeDocument/2006/relationships/table" Target="../tables/table41.xml"/><Relationship Id="rId5" Type="http://schemas.openxmlformats.org/officeDocument/2006/relationships/table" Target="../tables/table40.xml"/><Relationship Id="rId4" Type="http://schemas.openxmlformats.org/officeDocument/2006/relationships/table" Target="../tables/table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9"/>
  <dimension ref="A1:A19"/>
  <sheetViews>
    <sheetView view="pageBreakPreview" topLeftCell="A16" zoomScale="130" zoomScaleNormal="100" zoomScaleSheetLayoutView="130" workbookViewId="0">
      <selection activeCell="A16" sqref="A16"/>
    </sheetView>
  </sheetViews>
  <sheetFormatPr defaultRowHeight="15" x14ac:dyDescent="0.25"/>
  <cols>
    <col min="1" max="1" width="105.7109375" customWidth="1"/>
  </cols>
  <sheetData>
    <row r="1" spans="1:1" ht="26.25" customHeight="1" x14ac:dyDescent="0.25">
      <c r="A1" s="4"/>
    </row>
    <row r="2" spans="1:1" ht="14.25" customHeight="1" x14ac:dyDescent="0.25">
      <c r="A2" s="4"/>
    </row>
    <row r="3" spans="1:1" ht="32.25" thickBot="1" x14ac:dyDescent="0.3">
      <c r="A3" s="90" t="s">
        <v>87</v>
      </c>
    </row>
    <row r="4" spans="1:1" ht="15.75" customHeight="1" x14ac:dyDescent="0.25">
      <c r="A4" s="91"/>
    </row>
    <row r="5" spans="1:1" ht="15.75" customHeight="1" x14ac:dyDescent="0.25">
      <c r="A5" s="138" t="s">
        <v>93</v>
      </c>
    </row>
    <row r="6" spans="1:1" ht="15" customHeight="1" x14ac:dyDescent="0.25">
      <c r="A6" s="138"/>
    </row>
    <row r="7" spans="1:1" x14ac:dyDescent="0.25">
      <c r="A7" s="4"/>
    </row>
    <row r="8" spans="1:1" ht="45" x14ac:dyDescent="0.25">
      <c r="A8" s="89" t="s">
        <v>94</v>
      </c>
    </row>
    <row r="9" spans="1:1" x14ac:dyDescent="0.25">
      <c r="A9" s="89"/>
    </row>
    <row r="10" spans="1:1" x14ac:dyDescent="0.25">
      <c r="A10" s="89" t="s">
        <v>84</v>
      </c>
    </row>
    <row r="11" spans="1:1" x14ac:dyDescent="0.25">
      <c r="A11" s="89"/>
    </row>
    <row r="12" spans="1:1" ht="30" x14ac:dyDescent="0.25">
      <c r="A12" s="89" t="s">
        <v>88</v>
      </c>
    </row>
    <row r="13" spans="1:1" x14ac:dyDescent="0.25">
      <c r="A13" s="89"/>
    </row>
    <row r="14" spans="1:1" ht="105" x14ac:dyDescent="0.25">
      <c r="A14" s="89" t="s">
        <v>89</v>
      </c>
    </row>
    <row r="15" spans="1:1" x14ac:dyDescent="0.25">
      <c r="A15" s="89"/>
    </row>
    <row r="16" spans="1:1" ht="180" x14ac:dyDescent="0.25">
      <c r="A16" s="87" t="s">
        <v>95</v>
      </c>
    </row>
    <row r="17" spans="1:1" x14ac:dyDescent="0.25">
      <c r="A17" s="89"/>
    </row>
    <row r="18" spans="1:1" ht="45" x14ac:dyDescent="0.25">
      <c r="A18" s="89" t="s">
        <v>90</v>
      </c>
    </row>
    <row r="19" spans="1:1" x14ac:dyDescent="0.25">
      <c r="A19" s="88"/>
    </row>
  </sheetData>
  <mergeCells count="1">
    <mergeCell ref="A5:A6"/>
  </mergeCells>
  <pageMargins left="0.7" right="0.7" top="0.75" bottom="0.75" header="0.3" footer="0.3"/>
  <pageSetup paperSize="9" scale="87"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ull1">
    <tabColor theme="3" tint="0.79998168889431442"/>
  </sheetPr>
  <dimension ref="A1:P41"/>
  <sheetViews>
    <sheetView showGridLines="0" tabSelected="1" topLeftCell="A10" workbookViewId="0">
      <selection activeCell="C6" sqref="C6"/>
    </sheetView>
  </sheetViews>
  <sheetFormatPr defaultColWidth="0" defaultRowHeight="15" zeroHeight="1" x14ac:dyDescent="0.25"/>
  <cols>
    <col min="1" max="1" width="10" style="4" customWidth="1"/>
    <col min="2" max="2" width="20.85546875" customWidth="1"/>
    <col min="3" max="4" width="14.42578125" bestFit="1" customWidth="1"/>
    <col min="5" max="6" width="14.42578125" customWidth="1"/>
    <col min="7" max="8" width="9.140625" hidden="1" customWidth="1"/>
    <col min="9" max="9" width="9.5703125" hidden="1" customWidth="1"/>
    <col min="10" max="10" width="9.140625" hidden="1" customWidth="1"/>
    <col min="11" max="11" width="9.5703125" hidden="1" customWidth="1"/>
    <col min="12" max="16384" width="9.140625" hidden="1"/>
  </cols>
  <sheetData>
    <row r="1" spans="2:16" ht="15.75" thickBot="1" x14ac:dyDescent="0.3">
      <c r="C1" s="82" t="s">
        <v>42</v>
      </c>
      <c r="D1" s="82" t="s">
        <v>10</v>
      </c>
      <c r="E1" s="83" t="s">
        <v>11</v>
      </c>
      <c r="F1" s="84" t="s">
        <v>12</v>
      </c>
    </row>
    <row r="2" spans="2:16" ht="15.75" thickTop="1" x14ac:dyDescent="0.25">
      <c r="B2" s="4"/>
      <c r="C2" s="85" t="s">
        <v>43</v>
      </c>
      <c r="D2" s="96">
        <v>40.728884999999998</v>
      </c>
      <c r="E2" s="97">
        <v>24.437329999999999</v>
      </c>
      <c r="F2" s="98">
        <v>16.291554999999999</v>
      </c>
    </row>
    <row r="3" spans="2:16" x14ac:dyDescent="0.25">
      <c r="C3" s="85" t="s">
        <v>82</v>
      </c>
      <c r="D3" s="96">
        <v>59.173468</v>
      </c>
      <c r="E3" s="97">
        <v>36.490689000000003</v>
      </c>
      <c r="F3" s="98">
        <v>8.3677309999999991</v>
      </c>
    </row>
    <row r="4" spans="2:16" x14ac:dyDescent="0.25">
      <c r="C4" t="s">
        <v>83</v>
      </c>
    </row>
    <row r="5" spans="2:16" x14ac:dyDescent="0.25"/>
    <row r="6" spans="2:16" ht="23.25" x14ac:dyDescent="0.35">
      <c r="B6" s="17" t="s">
        <v>42</v>
      </c>
      <c r="C6" s="94" t="s">
        <v>47</v>
      </c>
      <c r="I6" t="s">
        <v>43</v>
      </c>
    </row>
    <row r="7" spans="2:16" x14ac:dyDescent="0.25">
      <c r="B7" s="4"/>
      <c r="C7" s="4"/>
      <c r="D7" s="4"/>
      <c r="E7" s="4"/>
      <c r="F7" s="4"/>
      <c r="I7" t="s">
        <v>47</v>
      </c>
    </row>
    <row r="8" spans="2:16" ht="23.25" x14ac:dyDescent="0.35">
      <c r="B8" s="17" t="s">
        <v>40</v>
      </c>
      <c r="C8" s="4"/>
      <c r="D8" s="4"/>
      <c r="E8" s="4"/>
      <c r="F8" s="4"/>
    </row>
    <row r="9" spans="2:16" x14ac:dyDescent="0.25">
      <c r="B9" s="4"/>
      <c r="C9" s="4"/>
      <c r="D9" s="4"/>
      <c r="E9" s="4"/>
      <c r="F9" s="4"/>
    </row>
    <row r="10" spans="2:16" x14ac:dyDescent="0.25">
      <c r="B10" s="4"/>
      <c r="C10" s="1" t="s">
        <v>3</v>
      </c>
      <c r="D10" s="1" t="s">
        <v>4</v>
      </c>
      <c r="E10" s="1" t="s">
        <v>5</v>
      </c>
      <c r="F10" s="4"/>
    </row>
    <row r="11" spans="2:16" ht="21" x14ac:dyDescent="0.35">
      <c r="B11" s="4"/>
      <c r="C11" s="95">
        <v>100</v>
      </c>
      <c r="D11" s="95">
        <v>110</v>
      </c>
      <c r="E11" s="95">
        <v>200</v>
      </c>
      <c r="F11" s="4"/>
      <c r="I11" s="29"/>
      <c r="K11" s="29"/>
    </row>
    <row r="12" spans="2:16" ht="18" customHeight="1" x14ac:dyDescent="0.35">
      <c r="B12" s="4"/>
      <c r="C12" s="22"/>
      <c r="D12" s="22"/>
      <c r="E12" s="22"/>
      <c r="F12" s="4"/>
      <c r="I12" s="29"/>
      <c r="K12" s="29"/>
    </row>
    <row r="13" spans="2:16" ht="23.25" x14ac:dyDescent="0.35">
      <c r="B13" s="17" t="s">
        <v>61</v>
      </c>
      <c r="C13" s="22"/>
      <c r="D13" s="22"/>
      <c r="E13" s="22"/>
      <c r="F13" s="4"/>
      <c r="I13" s="29"/>
      <c r="K13" s="29"/>
    </row>
    <row r="14" spans="2:16" x14ac:dyDescent="0.25">
      <c r="B14" s="4"/>
      <c r="C14" s="5"/>
      <c r="D14" s="5"/>
      <c r="E14" s="5"/>
      <c r="F14" s="4"/>
    </row>
    <row r="15" spans="2:16" x14ac:dyDescent="0.25">
      <c r="B15" s="8" t="s">
        <v>9</v>
      </c>
      <c r="C15" s="9" t="s">
        <v>22</v>
      </c>
      <c r="D15" s="9" t="s">
        <v>21</v>
      </c>
      <c r="E15" s="9" t="s">
        <v>20</v>
      </c>
      <c r="F15" s="4"/>
    </row>
    <row r="16" spans="2:16" x14ac:dyDescent="0.25">
      <c r="B16" s="15" t="s">
        <v>25</v>
      </c>
      <c r="C16" s="92">
        <v>82</v>
      </c>
      <c r="D16" s="92">
        <v>81</v>
      </c>
      <c r="E16" s="92">
        <v>72</v>
      </c>
      <c r="F16" s="4"/>
      <c r="J16">
        <v>82</v>
      </c>
      <c r="K16">
        <v>81</v>
      </c>
      <c r="L16">
        <v>72</v>
      </c>
      <c r="N16">
        <f>+J16/10</f>
        <v>8.1999999999999993</v>
      </c>
      <c r="O16">
        <f t="shared" ref="O16:O27" si="0">+K16/10</f>
        <v>8.1</v>
      </c>
      <c r="P16">
        <f t="shared" ref="P16:P27" si="1">+L16/10</f>
        <v>7.2</v>
      </c>
    </row>
    <row r="17" spans="2:16" x14ac:dyDescent="0.25">
      <c r="B17" s="16" t="s">
        <v>26</v>
      </c>
      <c r="C17" s="93">
        <v>20</v>
      </c>
      <c r="D17" s="92">
        <v>80</v>
      </c>
      <c r="E17" s="93">
        <v>70</v>
      </c>
      <c r="F17" s="4"/>
      <c r="J17">
        <v>20</v>
      </c>
      <c r="K17">
        <v>80</v>
      </c>
      <c r="L17">
        <v>70</v>
      </c>
      <c r="N17">
        <f t="shared" ref="N17:N27" si="2">+J17/10</f>
        <v>2</v>
      </c>
      <c r="O17">
        <f t="shared" si="0"/>
        <v>8</v>
      </c>
      <c r="P17">
        <f t="shared" si="1"/>
        <v>7</v>
      </c>
    </row>
    <row r="18" spans="2:16" x14ac:dyDescent="0.25">
      <c r="B18" s="15" t="s">
        <v>0</v>
      </c>
      <c r="C18" s="92">
        <v>80</v>
      </c>
      <c r="D18" s="92">
        <v>80</v>
      </c>
      <c r="E18" s="92">
        <v>56</v>
      </c>
      <c r="F18" s="4"/>
      <c r="J18">
        <v>80</v>
      </c>
      <c r="K18">
        <v>80</v>
      </c>
      <c r="L18">
        <v>56</v>
      </c>
      <c r="N18">
        <f t="shared" si="2"/>
        <v>8</v>
      </c>
      <c r="O18">
        <f t="shared" si="0"/>
        <v>8</v>
      </c>
      <c r="P18">
        <f t="shared" si="1"/>
        <v>5.6</v>
      </c>
    </row>
    <row r="19" spans="2:16" x14ac:dyDescent="0.25">
      <c r="B19" s="16" t="s">
        <v>27</v>
      </c>
      <c r="C19" s="93">
        <v>90</v>
      </c>
      <c r="D19" s="92">
        <v>80</v>
      </c>
      <c r="E19" s="93">
        <v>56</v>
      </c>
      <c r="F19" s="4"/>
      <c r="J19">
        <v>90</v>
      </c>
      <c r="K19">
        <v>80</v>
      </c>
      <c r="L19">
        <v>56</v>
      </c>
      <c r="N19">
        <f t="shared" si="2"/>
        <v>9</v>
      </c>
      <c r="O19">
        <f t="shared" si="0"/>
        <v>8</v>
      </c>
      <c r="P19">
        <f t="shared" si="1"/>
        <v>5.6</v>
      </c>
    </row>
    <row r="20" spans="2:16" x14ac:dyDescent="0.25">
      <c r="B20" s="15" t="s">
        <v>1</v>
      </c>
      <c r="C20" s="92">
        <v>55</v>
      </c>
      <c r="D20" s="92">
        <v>55</v>
      </c>
      <c r="E20" s="92">
        <v>55</v>
      </c>
      <c r="F20" s="4"/>
      <c r="J20">
        <v>55</v>
      </c>
      <c r="K20">
        <v>55</v>
      </c>
      <c r="L20">
        <v>55</v>
      </c>
      <c r="N20">
        <f t="shared" si="2"/>
        <v>5.5</v>
      </c>
      <c r="O20">
        <f t="shared" si="0"/>
        <v>5.5</v>
      </c>
      <c r="P20">
        <f t="shared" si="1"/>
        <v>5.5</v>
      </c>
    </row>
    <row r="21" spans="2:16" x14ac:dyDescent="0.25">
      <c r="B21" s="16" t="s">
        <v>2</v>
      </c>
      <c r="C21" s="93">
        <v>31</v>
      </c>
      <c r="D21" s="92">
        <v>30</v>
      </c>
      <c r="E21" s="93">
        <v>58</v>
      </c>
      <c r="F21" s="4"/>
      <c r="J21">
        <v>31</v>
      </c>
      <c r="K21">
        <v>30</v>
      </c>
      <c r="L21">
        <v>58</v>
      </c>
      <c r="N21">
        <f t="shared" si="2"/>
        <v>3.1</v>
      </c>
      <c r="O21">
        <f t="shared" si="0"/>
        <v>3</v>
      </c>
      <c r="P21">
        <f t="shared" si="1"/>
        <v>5.8</v>
      </c>
    </row>
    <row r="22" spans="2:16" x14ac:dyDescent="0.25">
      <c r="B22" s="15" t="s">
        <v>28</v>
      </c>
      <c r="C22" s="92">
        <v>75</v>
      </c>
      <c r="D22" s="92">
        <v>85</v>
      </c>
      <c r="E22" s="92">
        <v>60</v>
      </c>
      <c r="F22" s="4"/>
      <c r="J22">
        <v>75</v>
      </c>
      <c r="K22">
        <v>85</v>
      </c>
      <c r="L22">
        <v>60</v>
      </c>
      <c r="N22">
        <f t="shared" si="2"/>
        <v>7.5</v>
      </c>
      <c r="O22">
        <f t="shared" si="0"/>
        <v>8.5</v>
      </c>
      <c r="P22">
        <f t="shared" si="1"/>
        <v>6</v>
      </c>
    </row>
    <row r="23" spans="2:16" x14ac:dyDescent="0.25">
      <c r="B23" s="16" t="s">
        <v>29</v>
      </c>
      <c r="C23" s="93">
        <v>81</v>
      </c>
      <c r="D23" s="92">
        <v>85</v>
      </c>
      <c r="E23" s="93">
        <v>65</v>
      </c>
      <c r="F23" s="4"/>
      <c r="J23">
        <v>81</v>
      </c>
      <c r="K23">
        <v>85</v>
      </c>
      <c r="L23">
        <v>65</v>
      </c>
      <c r="N23">
        <f t="shared" si="2"/>
        <v>8.1</v>
      </c>
      <c r="O23">
        <f t="shared" si="0"/>
        <v>8.5</v>
      </c>
      <c r="P23">
        <f t="shared" si="1"/>
        <v>6.5</v>
      </c>
    </row>
    <row r="24" spans="2:16" x14ac:dyDescent="0.25">
      <c r="B24" s="15" t="s">
        <v>30</v>
      </c>
      <c r="C24" s="92">
        <v>78</v>
      </c>
      <c r="D24" s="92">
        <v>85</v>
      </c>
      <c r="E24" s="92">
        <v>85</v>
      </c>
      <c r="F24" s="4"/>
      <c r="J24">
        <v>78</v>
      </c>
      <c r="K24">
        <v>85</v>
      </c>
      <c r="L24">
        <v>85</v>
      </c>
      <c r="N24">
        <f t="shared" si="2"/>
        <v>7.8</v>
      </c>
      <c r="O24">
        <f t="shared" si="0"/>
        <v>8.5</v>
      </c>
      <c r="P24">
        <f t="shared" si="1"/>
        <v>8.5</v>
      </c>
    </row>
    <row r="25" spans="2:16" x14ac:dyDescent="0.25">
      <c r="B25" s="16" t="s">
        <v>31</v>
      </c>
      <c r="C25" s="93">
        <v>95</v>
      </c>
      <c r="D25" s="92">
        <v>60</v>
      </c>
      <c r="E25" s="93">
        <v>75</v>
      </c>
      <c r="F25" s="4"/>
      <c r="J25">
        <v>95</v>
      </c>
      <c r="K25">
        <v>90</v>
      </c>
      <c r="L25">
        <v>75</v>
      </c>
      <c r="N25">
        <f t="shared" si="2"/>
        <v>9.5</v>
      </c>
      <c r="O25">
        <f t="shared" si="0"/>
        <v>9</v>
      </c>
      <c r="P25">
        <f t="shared" si="1"/>
        <v>7.5</v>
      </c>
    </row>
    <row r="26" spans="2:16" x14ac:dyDescent="0.25">
      <c r="B26" s="15" t="s">
        <v>32</v>
      </c>
      <c r="C26" s="92">
        <v>94</v>
      </c>
      <c r="D26" s="92">
        <v>92</v>
      </c>
      <c r="E26" s="92">
        <v>55</v>
      </c>
      <c r="F26" s="4"/>
      <c r="J26">
        <v>94</v>
      </c>
      <c r="K26">
        <v>95</v>
      </c>
      <c r="L26">
        <v>55</v>
      </c>
      <c r="N26">
        <f t="shared" si="2"/>
        <v>9.4</v>
      </c>
      <c r="O26">
        <f t="shared" si="0"/>
        <v>9.5</v>
      </c>
      <c r="P26">
        <f t="shared" si="1"/>
        <v>5.5</v>
      </c>
    </row>
    <row r="27" spans="2:16" x14ac:dyDescent="0.25">
      <c r="B27" s="16" t="s">
        <v>33</v>
      </c>
      <c r="C27" s="93">
        <v>95</v>
      </c>
      <c r="D27" s="92">
        <v>95</v>
      </c>
      <c r="E27" s="93">
        <v>65</v>
      </c>
      <c r="F27" s="4"/>
      <c r="J27">
        <v>95</v>
      </c>
      <c r="K27">
        <v>92</v>
      </c>
      <c r="L27">
        <v>65</v>
      </c>
      <c r="N27">
        <f t="shared" si="2"/>
        <v>9.5</v>
      </c>
      <c r="O27">
        <f t="shared" si="0"/>
        <v>9.1999999999999993</v>
      </c>
      <c r="P27">
        <f t="shared" si="1"/>
        <v>6.5</v>
      </c>
    </row>
    <row r="28" spans="2:16" x14ac:dyDescent="0.25">
      <c r="B28" s="16"/>
      <c r="C28" s="10"/>
      <c r="D28" s="10"/>
      <c r="E28" s="10"/>
      <c r="F28" s="4"/>
    </row>
    <row r="29" spans="2:16" ht="23.25" x14ac:dyDescent="0.35">
      <c r="B29" s="17" t="s">
        <v>48</v>
      </c>
      <c r="C29" s="10"/>
      <c r="D29" s="10"/>
      <c r="E29" s="10"/>
      <c r="F29" s="4"/>
    </row>
    <row r="30" spans="2:16" x14ac:dyDescent="0.25">
      <c r="B30" s="4"/>
      <c r="C30" s="4"/>
      <c r="D30" s="4"/>
      <c r="E30" s="4"/>
      <c r="F30" s="4"/>
    </row>
    <row r="31" spans="2:16" x14ac:dyDescent="0.25">
      <c r="B31" s="4"/>
      <c r="C31" s="1" t="s">
        <v>10</v>
      </c>
      <c r="D31" s="1" t="s">
        <v>11</v>
      </c>
      <c r="E31" s="1" t="s">
        <v>12</v>
      </c>
      <c r="F31" s="4"/>
    </row>
    <row r="32" spans="2:16" x14ac:dyDescent="0.25">
      <c r="B32" s="4"/>
      <c r="C32" s="1">
        <f>+IF($C$6=$H$32,I32,I33)</f>
        <v>59.173468</v>
      </c>
      <c r="D32" s="1">
        <f>+IF($C$6=$H$32,J32,J33)</f>
        <v>36.490689000000003</v>
      </c>
      <c r="E32" s="1">
        <f>+IF($C$6=$H$32,K32,K33)</f>
        <v>8.3677309999999991</v>
      </c>
      <c r="F32" s="4"/>
      <c r="H32" t="s">
        <v>43</v>
      </c>
      <c r="I32">
        <v>40.728884999999998</v>
      </c>
      <c r="J32">
        <v>24.437329999999999</v>
      </c>
      <c r="K32">
        <v>16.291554999999999</v>
      </c>
    </row>
    <row r="33" spans="2:11" x14ac:dyDescent="0.25">
      <c r="B33" s="16"/>
      <c r="C33" s="10"/>
      <c r="D33" s="10"/>
      <c r="E33" s="10"/>
      <c r="F33" s="4"/>
      <c r="H33" t="s">
        <v>47</v>
      </c>
      <c r="I33">
        <v>59.173468</v>
      </c>
      <c r="J33">
        <v>36.490689000000003</v>
      </c>
      <c r="K33">
        <v>8.3677309999999991</v>
      </c>
    </row>
    <row r="34" spans="2:11" x14ac:dyDescent="0.25">
      <c r="B34" s="31" t="s">
        <v>62</v>
      </c>
      <c r="C34" s="31"/>
      <c r="D34" s="10"/>
      <c r="E34" s="10"/>
      <c r="F34" s="4"/>
    </row>
    <row r="35" spans="2:11" x14ac:dyDescent="0.25">
      <c r="B35" s="4"/>
      <c r="C35" s="4"/>
      <c r="D35" s="4"/>
      <c r="E35" s="4"/>
      <c r="F35" s="4"/>
    </row>
    <row r="36" spans="2:11" x14ac:dyDescent="0.25"/>
    <row r="37" spans="2:11" x14ac:dyDescent="0.25"/>
    <row r="38" spans="2:11" x14ac:dyDescent="0.25"/>
    <row r="39" spans="2:11" x14ac:dyDescent="0.25"/>
    <row r="40" spans="2:11" hidden="1" x14ac:dyDescent="0.25"/>
    <row r="41" spans="2:11" x14ac:dyDescent="0.25"/>
  </sheetData>
  <sheetProtection password="E005" sheet="1" objects="1" scenarios="1"/>
  <dataValidations count="1">
    <dataValidation type="list" allowBlank="1" showInputMessage="1" showErrorMessage="1" sqref="C6">
      <formula1>$I$6:$I$7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arcro1">
                <anchor moveWithCells="1" sizeWithCells="1">
                  <from>
                    <xdr:col>1</xdr:col>
                    <xdr:colOff>742950</xdr:colOff>
                    <xdr:row>35</xdr:row>
                    <xdr:rowOff>66675</xdr:rowOff>
                  </from>
                  <to>
                    <xdr:col>4</xdr:col>
                    <xdr:colOff>409575</xdr:colOff>
                    <xdr:row>37</xdr:row>
                    <xdr:rowOff>76200</xdr:rowOff>
                  </to>
                </anchor>
              </controlPr>
            </control>
          </mc:Choice>
        </mc:AlternateContent>
      </controls>
    </mc:Choice>
  </mc:AlternateContent>
  <tableParts count="3">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8">
    <tabColor theme="6" tint="0.59999389629810485"/>
  </sheetPr>
  <dimension ref="A1:Y84"/>
  <sheetViews>
    <sheetView topLeftCell="B1" zoomScale="140" zoomScaleNormal="140" workbookViewId="0">
      <selection activeCell="B11" sqref="B11:K14"/>
    </sheetView>
  </sheetViews>
  <sheetFormatPr defaultColWidth="9.140625" defaultRowHeight="15" x14ac:dyDescent="0.25"/>
  <cols>
    <col min="1" max="1" width="9.140625" customWidth="1"/>
    <col min="2" max="2" width="12.85546875" customWidth="1"/>
    <col min="3" max="3" width="15.140625" bestFit="1" customWidth="1"/>
    <col min="4" max="4" width="12.85546875" customWidth="1"/>
    <col min="5" max="7" width="16.5703125" customWidth="1"/>
    <col min="8" max="9" width="18" customWidth="1"/>
    <col min="10" max="10" width="14" bestFit="1" customWidth="1"/>
    <col min="11" max="12" width="12.5703125" bestFit="1" customWidth="1"/>
    <col min="13" max="13" width="9.140625" customWidth="1"/>
    <col min="14" max="14" width="9.140625" hidden="1" customWidth="1"/>
    <col min="15" max="15" width="9.5703125" hidden="1" customWidth="1"/>
    <col min="16" max="16" width="9.140625" hidden="1" customWidth="1"/>
    <col min="17" max="17" width="9.5703125" hidden="1" customWidth="1"/>
    <col min="18" max="25" width="9.140625" hidden="1" customWidth="1"/>
  </cols>
  <sheetData>
    <row r="1" spans="1:24" x14ac:dyDescent="0.25">
      <c r="A1" s="4"/>
      <c r="B1" s="4"/>
      <c r="C1" s="4"/>
      <c r="D1" s="4"/>
      <c r="E1" s="4"/>
      <c r="F1" s="4"/>
      <c r="G1" s="4"/>
      <c r="H1" s="4"/>
      <c r="I1" s="4"/>
      <c r="J1" s="4"/>
      <c r="K1" s="4"/>
      <c r="L1" s="4"/>
    </row>
    <row r="2" spans="1:24" ht="23.25" x14ac:dyDescent="0.35">
      <c r="A2" s="4"/>
      <c r="B2" s="17" t="s">
        <v>72</v>
      </c>
      <c r="C2" s="17"/>
      <c r="D2" s="17"/>
      <c r="E2" s="22"/>
      <c r="F2" s="22"/>
      <c r="G2" s="17" t="s">
        <v>42</v>
      </c>
      <c r="H2" s="22" t="str">
        <f>'Entrada de dades'!C6</f>
        <v>3.1A</v>
      </c>
      <c r="J2" s="22"/>
      <c r="K2" s="22"/>
      <c r="L2" s="4"/>
      <c r="O2" s="29"/>
      <c r="Q2" s="29"/>
    </row>
    <row r="3" spans="1:24" x14ac:dyDescent="0.25">
      <c r="A3" s="4"/>
      <c r="B3" s="4"/>
      <c r="C3" s="4"/>
      <c r="D3" s="4"/>
      <c r="E3" s="5"/>
      <c r="F3" s="5"/>
      <c r="G3" s="5"/>
      <c r="H3" s="5"/>
      <c r="I3" s="5"/>
      <c r="J3" s="5"/>
      <c r="K3" s="5"/>
      <c r="L3" s="4"/>
    </row>
    <row r="4" spans="1:24" x14ac:dyDescent="0.25">
      <c r="A4" s="4"/>
      <c r="B4" s="139" t="s">
        <v>91</v>
      </c>
      <c r="C4" s="139"/>
      <c r="D4" s="139"/>
      <c r="E4" s="139"/>
      <c r="F4" s="139"/>
      <c r="G4" s="139"/>
      <c r="H4" s="139"/>
      <c r="I4" s="139"/>
      <c r="J4" s="139"/>
      <c r="K4" s="139"/>
      <c r="L4" s="4"/>
    </row>
    <row r="5" spans="1:24" x14ac:dyDescent="0.25">
      <c r="A5" s="4"/>
      <c r="B5" s="139"/>
      <c r="C5" s="139"/>
      <c r="D5" s="139"/>
      <c r="E5" s="139"/>
      <c r="F5" s="139"/>
      <c r="G5" s="139"/>
      <c r="H5" s="139"/>
      <c r="I5" s="139"/>
      <c r="J5" s="139"/>
      <c r="K5" s="139"/>
      <c r="L5" s="4"/>
    </row>
    <row r="6" spans="1:24" x14ac:dyDescent="0.25">
      <c r="A6" s="4"/>
      <c r="B6" s="139"/>
      <c r="C6" s="139"/>
      <c r="D6" s="139"/>
      <c r="E6" s="139"/>
      <c r="F6" s="139"/>
      <c r="G6" s="139"/>
      <c r="H6" s="139"/>
      <c r="I6" s="139"/>
      <c r="J6" s="139"/>
      <c r="K6" s="139"/>
      <c r="L6" s="4"/>
    </row>
    <row r="7" spans="1:24" x14ac:dyDescent="0.25">
      <c r="A7" s="4"/>
      <c r="B7" s="72"/>
      <c r="C7" s="72"/>
      <c r="D7" s="72"/>
      <c r="E7" s="72"/>
      <c r="F7" s="72"/>
      <c r="G7" s="72"/>
      <c r="H7" s="72"/>
      <c r="I7" s="72"/>
      <c r="J7" s="72"/>
      <c r="K7" s="72"/>
      <c r="L7" s="4"/>
    </row>
    <row r="8" spans="1:24" x14ac:dyDescent="0.25">
      <c r="A8" s="4"/>
      <c r="B8" s="4"/>
      <c r="C8" s="4"/>
      <c r="D8" s="4"/>
      <c r="E8" s="78" t="s">
        <v>85</v>
      </c>
      <c r="F8" s="4"/>
      <c r="G8" s="107" t="s">
        <v>46</v>
      </c>
      <c r="H8" s="5"/>
      <c r="I8" s="5"/>
      <c r="J8" s="5"/>
      <c r="K8" s="5"/>
      <c r="L8" s="4"/>
      <c r="N8" t="s">
        <v>46</v>
      </c>
      <c r="O8" t="s">
        <v>64</v>
      </c>
      <c r="S8">
        <f>+IF(G8="Sí",IF(G16="Sí",T8,T9),IF(G16="No",T10,T11))</f>
        <v>3</v>
      </c>
      <c r="T8">
        <v>3</v>
      </c>
      <c r="U8" t="s">
        <v>46</v>
      </c>
      <c r="V8" t="s">
        <v>46</v>
      </c>
      <c r="W8" t="s">
        <v>64</v>
      </c>
      <c r="X8" t="s">
        <v>41</v>
      </c>
    </row>
    <row r="9" spans="1:24" x14ac:dyDescent="0.25">
      <c r="A9" s="4"/>
      <c r="B9" s="4"/>
      <c r="C9" s="4"/>
      <c r="D9" s="4"/>
      <c r="E9" s="5"/>
      <c r="F9" s="5"/>
      <c r="G9" s="5"/>
      <c r="H9" s="5"/>
      <c r="I9" s="5"/>
      <c r="J9" s="5"/>
      <c r="K9" s="5"/>
      <c r="L9" s="4"/>
      <c r="N9" t="s">
        <v>58</v>
      </c>
      <c r="O9" t="s">
        <v>65</v>
      </c>
      <c r="T9">
        <v>4</v>
      </c>
      <c r="U9" t="s">
        <v>46</v>
      </c>
      <c r="V9" t="s">
        <v>58</v>
      </c>
      <c r="W9" t="s">
        <v>64</v>
      </c>
      <c r="X9" t="s">
        <v>44</v>
      </c>
    </row>
    <row r="10" spans="1:24" x14ac:dyDescent="0.25">
      <c r="A10" s="4"/>
      <c r="B10" s="4"/>
      <c r="C10" s="4"/>
      <c r="D10" s="4"/>
      <c r="E10" s="5"/>
      <c r="F10" s="5"/>
      <c r="G10" s="5"/>
      <c r="H10" s="5"/>
      <c r="I10" s="5"/>
      <c r="J10" s="5"/>
      <c r="K10" s="5"/>
      <c r="L10" s="4"/>
      <c r="T10">
        <v>2</v>
      </c>
      <c r="U10" t="s">
        <v>58</v>
      </c>
      <c r="V10" t="s">
        <v>58</v>
      </c>
      <c r="W10" t="s">
        <v>65</v>
      </c>
      <c r="X10" t="s">
        <v>44</v>
      </c>
    </row>
    <row r="11" spans="1:24" ht="15" customHeight="1" x14ac:dyDescent="0.25">
      <c r="A11" s="4"/>
      <c r="B11" s="139" t="s">
        <v>92</v>
      </c>
      <c r="C11" s="139"/>
      <c r="D11" s="139"/>
      <c r="E11" s="139"/>
      <c r="F11" s="139"/>
      <c r="G11" s="139"/>
      <c r="H11" s="139"/>
      <c r="I11" s="139"/>
      <c r="J11" s="139"/>
      <c r="K11" s="139"/>
      <c r="L11" s="4"/>
      <c r="T11">
        <v>1</v>
      </c>
      <c r="U11" t="s">
        <v>58</v>
      </c>
      <c r="V11" t="s">
        <v>46</v>
      </c>
      <c r="W11" t="s">
        <v>65</v>
      </c>
      <c r="X11" t="s">
        <v>41</v>
      </c>
    </row>
    <row r="12" spans="1:24" x14ac:dyDescent="0.25">
      <c r="A12" s="4"/>
      <c r="B12" s="139"/>
      <c r="C12" s="139"/>
      <c r="D12" s="139"/>
      <c r="E12" s="139"/>
      <c r="F12" s="139"/>
      <c r="G12" s="139"/>
      <c r="H12" s="139"/>
      <c r="I12" s="139"/>
      <c r="J12" s="139"/>
      <c r="K12" s="139"/>
      <c r="L12" s="4"/>
    </row>
    <row r="13" spans="1:24" x14ac:dyDescent="0.25">
      <c r="A13" s="4"/>
      <c r="B13" s="139"/>
      <c r="C13" s="139"/>
      <c r="D13" s="139"/>
      <c r="E13" s="139"/>
      <c r="F13" s="139"/>
      <c r="G13" s="139"/>
      <c r="H13" s="139"/>
      <c r="I13" s="139"/>
      <c r="J13" s="139"/>
      <c r="K13" s="139"/>
      <c r="L13" s="4"/>
    </row>
    <row r="14" spans="1:24" x14ac:dyDescent="0.25">
      <c r="A14" s="4"/>
      <c r="B14" s="139"/>
      <c r="C14" s="139"/>
      <c r="D14" s="139"/>
      <c r="E14" s="139"/>
      <c r="F14" s="139"/>
      <c r="G14" s="139"/>
      <c r="H14" s="139"/>
      <c r="I14" s="139"/>
      <c r="J14" s="139"/>
      <c r="K14" s="139"/>
      <c r="L14" s="4"/>
    </row>
    <row r="15" spans="1:24" x14ac:dyDescent="0.25">
      <c r="A15" s="4"/>
      <c r="B15" s="72"/>
      <c r="C15" s="72"/>
      <c r="D15" s="72"/>
      <c r="E15" s="72"/>
      <c r="F15" s="72"/>
      <c r="G15" s="72"/>
      <c r="H15" s="72"/>
      <c r="I15" s="72"/>
      <c r="J15" s="72"/>
      <c r="K15" s="72"/>
      <c r="L15" s="4"/>
    </row>
    <row r="16" spans="1:24" x14ac:dyDescent="0.25">
      <c r="A16" s="4"/>
      <c r="B16" s="4"/>
      <c r="C16" s="4"/>
      <c r="D16" s="4"/>
      <c r="E16" s="78" t="s">
        <v>66</v>
      </c>
      <c r="F16" s="4"/>
      <c r="G16" s="107" t="s">
        <v>46</v>
      </c>
      <c r="H16" s="5"/>
      <c r="I16" s="5"/>
      <c r="J16" s="5"/>
      <c r="K16" s="5"/>
      <c r="L16" s="4"/>
      <c r="N16" t="s">
        <v>46</v>
      </c>
      <c r="O16" t="s">
        <v>41</v>
      </c>
    </row>
    <row r="17" spans="1:15" x14ac:dyDescent="0.25">
      <c r="A17" s="4"/>
      <c r="B17" s="4"/>
      <c r="C17" s="4"/>
      <c r="D17" s="4"/>
      <c r="E17" s="5"/>
      <c r="F17" s="5"/>
      <c r="G17" s="5"/>
      <c r="H17" s="5"/>
      <c r="I17" s="5"/>
      <c r="J17" s="5"/>
      <c r="K17" s="5"/>
      <c r="L17" s="4"/>
      <c r="N17" t="s">
        <v>58</v>
      </c>
      <c r="O17" t="s">
        <v>44</v>
      </c>
    </row>
    <row r="18" spans="1:15" x14ac:dyDescent="0.25">
      <c r="A18" s="4"/>
      <c r="B18" s="4"/>
      <c r="C18" s="4"/>
      <c r="D18" s="4"/>
      <c r="E18" s="5"/>
      <c r="F18" s="5"/>
      <c r="G18" s="5"/>
      <c r="H18" s="5"/>
      <c r="I18" s="5"/>
      <c r="J18" s="5"/>
      <c r="K18" s="5"/>
      <c r="L18" s="4"/>
    </row>
    <row r="19" spans="1:15" x14ac:dyDescent="0.25">
      <c r="A19" s="4"/>
      <c r="B19" s="4" t="s">
        <v>67</v>
      </c>
      <c r="C19" s="4"/>
      <c r="D19" s="4"/>
      <c r="E19" s="5"/>
      <c r="F19" s="5"/>
      <c r="G19" s="5"/>
      <c r="H19" s="5"/>
      <c r="I19" s="5"/>
      <c r="J19" s="5"/>
      <c r="K19" s="5"/>
      <c r="L19" s="4"/>
    </row>
    <row r="20" spans="1:15" x14ac:dyDescent="0.25">
      <c r="A20" s="4"/>
      <c r="B20" s="4"/>
      <c r="C20" s="4"/>
      <c r="D20" s="4"/>
      <c r="E20" s="5"/>
      <c r="F20" s="5"/>
      <c r="G20" s="5"/>
      <c r="H20" s="5"/>
      <c r="I20" s="5"/>
      <c r="J20" s="5"/>
      <c r="K20" s="5"/>
      <c r="L20" s="4"/>
    </row>
    <row r="21" spans="1:15" x14ac:dyDescent="0.25">
      <c r="A21" s="4"/>
      <c r="B21" s="4"/>
      <c r="C21" s="4"/>
      <c r="D21" s="4"/>
      <c r="E21" s="79" t="s">
        <v>73</v>
      </c>
      <c r="F21" s="79" t="s">
        <v>74</v>
      </c>
      <c r="G21" s="79" t="s">
        <v>75</v>
      </c>
      <c r="H21" s="5"/>
      <c r="I21" s="5"/>
      <c r="J21" s="5"/>
      <c r="K21" s="5"/>
      <c r="L21" s="4"/>
    </row>
    <row r="22" spans="1:15" ht="21" x14ac:dyDescent="0.35">
      <c r="A22" s="4"/>
      <c r="B22" s="4"/>
      <c r="C22" s="4"/>
      <c r="D22" s="4"/>
      <c r="E22" s="108">
        <f>+VLOOKUP($S$8,$B$52:$G$55,4,0)</f>
        <v>90.476174311480577</v>
      </c>
      <c r="F22" s="108">
        <f>+VLOOKUP($S$8,$B$52:$G$55,5,0)</f>
        <v>90.476174311480705</v>
      </c>
      <c r="G22" s="108">
        <f>+VLOOKUP($S$8,$B$52:$G$55,6,0)</f>
        <v>200</v>
      </c>
      <c r="H22" s="5"/>
      <c r="I22" s="5"/>
      <c r="J22" s="5"/>
      <c r="K22" s="5"/>
      <c r="L22" s="4"/>
    </row>
    <row r="23" spans="1:15" x14ac:dyDescent="0.25">
      <c r="A23" s="4"/>
      <c r="B23" s="4"/>
      <c r="C23" s="4"/>
      <c r="D23" s="4"/>
      <c r="E23" s="5"/>
      <c r="F23" s="5"/>
      <c r="G23" s="5"/>
      <c r="H23" s="5"/>
      <c r="I23" s="5"/>
      <c r="J23" s="5"/>
      <c r="K23" s="5"/>
      <c r="L23" s="4"/>
    </row>
    <row r="24" spans="1:15" x14ac:dyDescent="0.25">
      <c r="A24" s="4"/>
      <c r="B24" s="4"/>
      <c r="C24" s="4"/>
      <c r="D24" s="4"/>
      <c r="E24" s="5"/>
      <c r="F24" s="5"/>
      <c r="G24" s="5"/>
      <c r="H24" s="5"/>
      <c r="I24" s="5"/>
      <c r="J24" s="5"/>
      <c r="K24" s="5"/>
      <c r="L24" s="4"/>
    </row>
    <row r="25" spans="1:15" ht="75" x14ac:dyDescent="0.25">
      <c r="A25" s="4"/>
      <c r="B25" s="4"/>
      <c r="C25" s="4"/>
      <c r="D25" s="4"/>
      <c r="E25" s="77" t="s">
        <v>68</v>
      </c>
      <c r="F25" s="77" t="s">
        <v>69</v>
      </c>
      <c r="G25" s="5"/>
      <c r="H25" s="5"/>
      <c r="I25" s="5"/>
      <c r="J25" s="5"/>
      <c r="K25" s="5"/>
      <c r="L25" s="4"/>
    </row>
    <row r="26" spans="1:15" x14ac:dyDescent="0.25">
      <c r="A26" s="4"/>
      <c r="B26" s="4"/>
      <c r="C26" s="4"/>
      <c r="D26" s="75" t="s">
        <v>25</v>
      </c>
      <c r="E26" s="100">
        <f>+IF($S$8=1,'3.0 creixent'!K8,IF($S$8=2,'3.0 òptim'!K8,IF($S$8=3,'3.0 creixent P3fix'!K8,'3.0 òptim P3fix'!K8)))</f>
        <v>709.70082749999995</v>
      </c>
      <c r="F26" s="101">
        <f>+IF($S$8=1,'3.0 creixent'!K29,IF($S$8=2,'3.0 òptim'!K29,IF($S$8=3,'3.0 creixent P3fix'!K29,'3.0 òptim P3fix'!K29)))</f>
        <v>674.06305416666657</v>
      </c>
      <c r="G26" s="5"/>
      <c r="H26" s="5"/>
      <c r="I26" s="5"/>
      <c r="J26" s="5"/>
      <c r="K26" s="5"/>
      <c r="L26" s="4"/>
    </row>
    <row r="27" spans="1:15" x14ac:dyDescent="0.25">
      <c r="A27" s="4"/>
      <c r="B27" s="4"/>
      <c r="C27" s="4"/>
      <c r="D27" s="76" t="s">
        <v>26</v>
      </c>
      <c r="E27" s="102">
        <f>+IF($S$8=1,'3.0 creixent'!K9,IF($S$8=2,'3.0 òptim'!K9,IF($S$8=3,'3.0 creixent P3fix'!K9,'3.0 òptim P3fix'!K9)))</f>
        <v>709.70082749999995</v>
      </c>
      <c r="F27" s="103">
        <f>+IF($S$8=1,'3.0 creixent'!K30,IF($S$8=2,'3.0 òptim'!K30,IF($S$8=3,'3.0 creixent P3fix'!K30,'3.0 òptim P3fix'!K30)))</f>
        <v>654.73292756589069</v>
      </c>
      <c r="G27" s="5"/>
      <c r="H27" s="5"/>
      <c r="I27" s="5"/>
      <c r="J27" s="5"/>
      <c r="K27" s="5"/>
      <c r="L27" s="4"/>
    </row>
    <row r="28" spans="1:15" x14ac:dyDescent="0.25">
      <c r="A28" s="4"/>
      <c r="B28" s="4"/>
      <c r="C28" s="4"/>
      <c r="D28" s="75" t="s">
        <v>0</v>
      </c>
      <c r="E28" s="102">
        <f>+IF($S$8=1,'3.0 creixent'!K10,IF($S$8=2,'3.0 òptim'!K10,IF($S$8=3,'3.0 creixent P3fix'!K10,'3.0 òptim P3fix'!K10)))</f>
        <v>709.70082749999995</v>
      </c>
      <c r="F28" s="103">
        <f>+IF($S$8=1,'3.0 creixent'!K31,IF($S$8=2,'3.0 òptim'!K31,IF($S$8=3,'3.0 creixent P3fix'!K31,'3.0 òptim P3fix'!K31)))</f>
        <v>665.23846249999997</v>
      </c>
      <c r="G28" s="5"/>
      <c r="H28" s="5"/>
      <c r="I28" s="5"/>
      <c r="J28" s="5"/>
      <c r="K28" s="5"/>
      <c r="L28" s="4"/>
    </row>
    <row r="29" spans="1:15" x14ac:dyDescent="0.25">
      <c r="A29" s="4"/>
      <c r="B29" s="4"/>
      <c r="C29" s="4"/>
      <c r="D29" s="76" t="s">
        <v>27</v>
      </c>
      <c r="E29" s="102">
        <f>+IF($S$8=1,'3.0 creixent'!K11,IF($S$8=2,'3.0 òptim'!K11,IF($S$8=3,'3.0 creixent P3fix'!K11,'3.0 òptim P3fix'!K11)))</f>
        <v>726.67119624999998</v>
      </c>
      <c r="F29" s="103">
        <f>+IF($S$8=1,'3.0 creixent'!K32,IF($S$8=2,'3.0 òptim'!K32,IF($S$8=3,'3.0 creixent P3fix'!K32,'3.0 òptim P3fix'!K32)))</f>
        <v>699.17920000000004</v>
      </c>
      <c r="G29" s="5"/>
      <c r="H29" s="5"/>
      <c r="I29" s="5"/>
      <c r="J29" s="5"/>
      <c r="K29" s="5"/>
      <c r="L29" s="4"/>
    </row>
    <row r="30" spans="1:15" x14ac:dyDescent="0.25">
      <c r="A30" s="4"/>
      <c r="B30" s="4"/>
      <c r="C30" s="4"/>
      <c r="D30" s="75" t="s">
        <v>1</v>
      </c>
      <c r="E30" s="102">
        <f>+IF($S$8=1,'3.0 creixent'!K12,IF($S$8=2,'3.0 òptim'!K12,IF($S$8=3,'3.0 creixent P3fix'!K12,'3.0 òptim P3fix'!K12)))</f>
        <v>709.70082749999995</v>
      </c>
      <c r="F30" s="103">
        <f>+IF($S$8=1,'3.0 creixent'!K33,IF($S$8=2,'3.0 òptim'!K33,IF($S$8=3,'3.0 creixent P3fix'!K33,'3.0 òptim P3fix'!K33)))</f>
        <v>648.42960686336323</v>
      </c>
      <c r="G30" s="5"/>
      <c r="H30" s="5"/>
      <c r="I30" s="5"/>
      <c r="J30" s="5"/>
      <c r="K30" s="5"/>
      <c r="L30" s="4"/>
    </row>
    <row r="31" spans="1:15" x14ac:dyDescent="0.25">
      <c r="A31" s="4"/>
      <c r="B31" s="4"/>
      <c r="C31" s="4"/>
      <c r="D31" s="76" t="s">
        <v>2</v>
      </c>
      <c r="E31" s="102">
        <f>+IF($S$8=1,'3.0 creixent'!K13,IF($S$8=2,'3.0 òptim'!K13,IF($S$8=3,'3.0 creixent P3fix'!K13,'3.0 òptim P3fix'!K13)))</f>
        <v>709.70082749999995</v>
      </c>
      <c r="F31" s="103">
        <f>+IF($S$8=1,'3.0 creixent'!K34,IF($S$8=2,'3.0 òptim'!K34,IF($S$8=3,'3.0 creixent P3fix'!K34,'3.0 òptim P3fix'!K34)))</f>
        <v>648.42960686336323</v>
      </c>
      <c r="G31" s="5"/>
      <c r="H31" s="5"/>
      <c r="I31" s="5"/>
      <c r="J31" s="5"/>
      <c r="K31" s="5"/>
      <c r="L31" s="4"/>
    </row>
    <row r="32" spans="1:15" x14ac:dyDescent="0.25">
      <c r="A32" s="4"/>
      <c r="B32" s="4"/>
      <c r="C32" s="4"/>
      <c r="D32" s="75" t="s">
        <v>28</v>
      </c>
      <c r="E32" s="102">
        <f>+IF($S$8=1,'3.0 creixent'!K14,IF($S$8=2,'3.0 òptim'!K14,IF($S$8=3,'3.0 creixent P3fix'!K14,'3.0 òptim P3fix'!K14)))</f>
        <v>709.70082749999995</v>
      </c>
      <c r="F32" s="103">
        <f>+IF($S$8=1,'3.0 creixent'!K35,IF($S$8=2,'3.0 òptim'!K35,IF($S$8=3,'3.0 creixent P3fix'!K35,'3.0 òptim P3fix'!K35)))</f>
        <v>664.91514839922399</v>
      </c>
      <c r="G32" s="5"/>
      <c r="H32" s="5"/>
      <c r="I32" s="5"/>
      <c r="J32" s="5"/>
      <c r="K32" s="5"/>
      <c r="L32" s="4"/>
    </row>
    <row r="33" spans="1:12" x14ac:dyDescent="0.25">
      <c r="A33" s="4"/>
      <c r="B33" s="4"/>
      <c r="C33" s="4"/>
      <c r="D33" s="76" t="s">
        <v>29</v>
      </c>
      <c r="E33" s="102">
        <f>+IF($S$8=1,'3.0 creixent'!K15,IF($S$8=2,'3.0 òptim'!K15,IF($S$8=3,'3.0 creixent P3fix'!K15,'3.0 òptim P3fix'!K15)))</f>
        <v>709.70082749999995</v>
      </c>
      <c r="F33" s="103">
        <f>+IF($S$8=1,'3.0 creixent'!K36,IF($S$8=2,'3.0 òptim'!K36,IF($S$8=3,'3.0 creixent P3fix'!K36,'3.0 òptim P3fix'!K36)))</f>
        <v>678.81475708333335</v>
      </c>
      <c r="G33" s="5"/>
      <c r="H33" s="5"/>
      <c r="I33" s="5"/>
      <c r="J33" s="5"/>
      <c r="K33" s="5"/>
      <c r="L33" s="4"/>
    </row>
    <row r="34" spans="1:12" x14ac:dyDescent="0.25">
      <c r="A34" s="4"/>
      <c r="B34" s="4"/>
      <c r="C34" s="4"/>
      <c r="D34" s="75" t="s">
        <v>30</v>
      </c>
      <c r="E34" s="102">
        <f>+IF($S$8=1,'3.0 creixent'!K16,IF($S$8=2,'3.0 òptim'!K16,IF($S$8=3,'3.0 creixent P3fix'!K16,'3.0 òptim P3fix'!K16)))</f>
        <v>709.70082749999995</v>
      </c>
      <c r="F34" s="103">
        <f>+IF($S$8=1,'3.0 creixent'!K37,IF($S$8=2,'3.0 òptim'!K37,IF($S$8=3,'3.0 creixent P3fix'!K37,'3.0 òptim P3fix'!K37)))</f>
        <v>668.63253583333335</v>
      </c>
      <c r="G34" s="5"/>
      <c r="H34" s="5"/>
      <c r="I34" s="5"/>
      <c r="J34" s="5"/>
      <c r="K34" s="5"/>
      <c r="L34" s="4"/>
    </row>
    <row r="35" spans="1:12" x14ac:dyDescent="0.25">
      <c r="A35" s="4"/>
      <c r="B35" s="4"/>
      <c r="C35" s="4"/>
      <c r="D35" s="76" t="s">
        <v>31</v>
      </c>
      <c r="E35" s="102">
        <f>+IF($S$8=1,'3.0 creixent'!K17,IF($S$8=2,'3.0 òptim'!K17,IF($S$8=3,'3.0 creixent P3fix'!K17,'3.0 òptim P3fix'!K17)))</f>
        <v>743.64156500000001</v>
      </c>
      <c r="F35" s="103">
        <f>+IF($S$8=1,'3.0 creixent'!K38,IF($S$8=2,'3.0 òptim'!K38,IF($S$8=3,'3.0 creixent P3fix'!K38,'3.0 òptim P3fix'!K38)))</f>
        <v>709.84641744350756</v>
      </c>
      <c r="G35" s="5"/>
      <c r="H35" s="5"/>
      <c r="I35" s="5"/>
      <c r="J35" s="5"/>
      <c r="K35" s="5"/>
      <c r="L35" s="4"/>
    </row>
    <row r="36" spans="1:12" x14ac:dyDescent="0.25">
      <c r="A36" s="4"/>
      <c r="B36" s="4"/>
      <c r="C36" s="4"/>
      <c r="D36" s="75" t="s">
        <v>32</v>
      </c>
      <c r="E36" s="102">
        <f>+IF($S$8=1,'3.0 creixent'!K18,IF($S$8=2,'3.0 òptim'!K18,IF($S$8=3,'3.0 creixent P3fix'!K18,'3.0 òptim P3fix'!K18)))</f>
        <v>740.24749124999994</v>
      </c>
      <c r="F36" s="103">
        <f>+IF($S$8=1,'3.0 creixent'!K39,IF($S$8=2,'3.0 òptim'!K39,IF($S$8=3,'3.0 creixent P3fix'!K39,'3.0 òptim P3fix'!K39)))</f>
        <v>737.19282499999997</v>
      </c>
      <c r="G36" s="5"/>
      <c r="H36" s="5"/>
      <c r="I36" s="5"/>
      <c r="J36" s="5"/>
      <c r="K36" s="5"/>
      <c r="L36" s="4"/>
    </row>
    <row r="37" spans="1:12" x14ac:dyDescent="0.25">
      <c r="A37" s="4"/>
      <c r="B37" s="4"/>
      <c r="C37" s="4"/>
      <c r="D37" s="76" t="s">
        <v>33</v>
      </c>
      <c r="E37" s="104">
        <f>+IF($S$8=1,'3.0 creixent'!K19,IF($S$8=2,'3.0 òptim'!K19,IF($S$8=3,'3.0 creixent P3fix'!K19,'3.0 òptim P3fix'!K19)))</f>
        <v>746.69623124999998</v>
      </c>
      <c r="F37" s="105">
        <f>+IF($S$8=1,'3.0 creixent'!K40,IF($S$8=2,'3.0 òptim'!K40,IF($S$8=3,'3.0 creixent P3fix'!K40,'3.0 òptim P3fix'!K40)))</f>
        <v>746.69650228365174</v>
      </c>
      <c r="G37" s="5"/>
      <c r="H37" s="5"/>
      <c r="I37" s="5"/>
      <c r="J37" s="5"/>
      <c r="K37" s="5"/>
      <c r="L37" s="4"/>
    </row>
    <row r="38" spans="1:12" ht="18.75" x14ac:dyDescent="0.3">
      <c r="A38" s="4"/>
      <c r="B38" s="4"/>
      <c r="C38" s="4"/>
      <c r="D38" s="80" t="s">
        <v>79</v>
      </c>
      <c r="E38" s="106">
        <f>SUM(E26:E37)</f>
        <v>8634.8631037499981</v>
      </c>
      <c r="F38" s="106">
        <f t="shared" ref="F38" si="0">SUM(F26:F37)</f>
        <v>8196.1710440023326</v>
      </c>
      <c r="G38" s="5"/>
      <c r="H38" s="5"/>
      <c r="I38" s="5"/>
      <c r="J38" s="5"/>
      <c r="K38" s="5"/>
      <c r="L38" s="4"/>
    </row>
    <row r="39" spans="1:12" ht="18.75" x14ac:dyDescent="0.3">
      <c r="A39" s="4"/>
      <c r="B39" s="4"/>
      <c r="C39" s="4"/>
      <c r="D39" s="80" t="s">
        <v>78</v>
      </c>
      <c r="E39" s="106">
        <f>+E38*1.051127</f>
        <v>9076.337749655424</v>
      </c>
      <c r="F39" s="106">
        <f>+F38*1.051127</f>
        <v>8615.2166809690389</v>
      </c>
      <c r="G39" s="5"/>
      <c r="H39" s="5"/>
      <c r="I39" s="5"/>
      <c r="J39" s="5"/>
      <c r="K39" s="5"/>
      <c r="L39" s="4"/>
    </row>
    <row r="40" spans="1:12" ht="18.75" x14ac:dyDescent="0.3">
      <c r="A40" s="4"/>
      <c r="B40" s="4"/>
      <c r="C40" s="4"/>
      <c r="D40" s="80"/>
      <c r="E40" s="81"/>
      <c r="F40" s="81"/>
      <c r="G40" s="5"/>
      <c r="H40" s="5"/>
      <c r="I40" s="5"/>
      <c r="J40" s="5"/>
      <c r="K40" s="5"/>
      <c r="L40" s="4"/>
    </row>
    <row r="41" spans="1:12" x14ac:dyDescent="0.25">
      <c r="A41" s="4"/>
      <c r="B41" s="4"/>
      <c r="C41" s="4"/>
      <c r="D41" s="4"/>
      <c r="E41" s="5"/>
      <c r="F41" s="5"/>
      <c r="G41" s="5"/>
      <c r="H41" s="5"/>
      <c r="I41" s="5"/>
      <c r="J41" s="5"/>
      <c r="K41" s="5"/>
      <c r="L41" s="4"/>
    </row>
    <row r="42" spans="1:12" ht="23.25" x14ac:dyDescent="0.35">
      <c r="A42" s="4"/>
      <c r="B42" s="4" t="s">
        <v>70</v>
      </c>
      <c r="C42" s="4"/>
      <c r="D42" s="4"/>
      <c r="E42" s="5"/>
      <c r="F42" s="5"/>
      <c r="G42" s="5"/>
      <c r="H42" s="74">
        <f>+(E39-F39)</f>
        <v>461.12106868638512</v>
      </c>
      <c r="I42" s="73" t="s">
        <v>71</v>
      </c>
      <c r="K42" s="5"/>
      <c r="L42" s="4"/>
    </row>
    <row r="43" spans="1:12" x14ac:dyDescent="0.25">
      <c r="A43" s="4"/>
      <c r="B43" s="4"/>
      <c r="C43" s="4"/>
      <c r="D43" s="4"/>
      <c r="E43" s="5"/>
      <c r="F43" s="5"/>
      <c r="G43" s="5"/>
      <c r="H43" s="5"/>
      <c r="I43" s="5"/>
      <c r="J43" s="5"/>
      <c r="K43" s="5"/>
      <c r="L43" s="4"/>
    </row>
    <row r="44" spans="1:12" x14ac:dyDescent="0.25">
      <c r="A44" s="4"/>
      <c r="B44" s="4"/>
      <c r="C44" s="4"/>
      <c r="D44" s="4"/>
      <c r="E44" s="5"/>
      <c r="F44" s="5"/>
      <c r="G44" s="5"/>
      <c r="H44" s="5"/>
      <c r="I44" s="5"/>
      <c r="J44" s="5"/>
      <c r="K44" s="5"/>
      <c r="L44" s="4"/>
    </row>
    <row r="45" spans="1:12" x14ac:dyDescent="0.25">
      <c r="A45" s="4"/>
      <c r="B45" s="4"/>
      <c r="C45" s="4"/>
      <c r="D45" s="4"/>
      <c r="E45" s="5"/>
      <c r="F45" s="5"/>
      <c r="G45" s="5"/>
      <c r="H45" s="5"/>
      <c r="I45" s="5"/>
      <c r="J45" s="5"/>
      <c r="K45" s="5"/>
      <c r="L45" s="4"/>
    </row>
    <row r="46" spans="1:12" x14ac:dyDescent="0.25">
      <c r="A46" s="4"/>
      <c r="B46" s="4"/>
      <c r="C46" s="4"/>
      <c r="D46" s="4"/>
      <c r="E46" s="5"/>
      <c r="F46" s="5"/>
      <c r="G46" s="5"/>
      <c r="H46" s="5"/>
      <c r="I46" s="5"/>
      <c r="J46" s="5"/>
      <c r="K46" s="5"/>
      <c r="L46" s="4"/>
    </row>
    <row r="47" spans="1:12" x14ac:dyDescent="0.25">
      <c r="A47" s="4"/>
      <c r="B47" s="4"/>
      <c r="C47" s="4"/>
      <c r="D47" s="4"/>
      <c r="E47" s="5"/>
      <c r="F47" s="5"/>
      <c r="G47" s="5"/>
      <c r="H47" s="5"/>
      <c r="I47" s="5"/>
      <c r="J47" s="5"/>
      <c r="K47" s="5"/>
      <c r="L47" s="4"/>
    </row>
    <row r="48" spans="1:12" ht="23.25" x14ac:dyDescent="0.35">
      <c r="A48" s="4"/>
      <c r="B48" s="17" t="s">
        <v>76</v>
      </c>
      <c r="C48" s="4"/>
      <c r="D48" s="4"/>
      <c r="E48" s="5"/>
      <c r="F48" s="5"/>
      <c r="G48" s="5"/>
      <c r="H48" s="5"/>
      <c r="I48" s="5"/>
      <c r="J48" s="5"/>
      <c r="K48" s="5"/>
      <c r="L48" s="4"/>
    </row>
    <row r="49" spans="1:19" x14ac:dyDescent="0.25">
      <c r="A49" s="4"/>
      <c r="B49" s="4"/>
      <c r="C49" s="4"/>
      <c r="D49" s="4"/>
      <c r="E49" s="5"/>
      <c r="F49" s="5"/>
      <c r="G49" s="5"/>
      <c r="H49" s="5"/>
      <c r="I49" s="5"/>
      <c r="J49" s="5"/>
      <c r="K49" s="5"/>
      <c r="L49" s="4"/>
    </row>
    <row r="50" spans="1:19" x14ac:dyDescent="0.25">
      <c r="A50" s="4"/>
      <c r="B50" s="4"/>
      <c r="C50" s="4"/>
      <c r="D50" s="4"/>
      <c r="E50" s="5"/>
      <c r="F50" s="5"/>
      <c r="G50" s="5"/>
      <c r="H50" s="5"/>
      <c r="I50" s="5"/>
      <c r="J50" s="5"/>
      <c r="K50" s="5"/>
      <c r="L50" s="4"/>
    </row>
    <row r="51" spans="1:19" ht="45" x14ac:dyDescent="0.25">
      <c r="A51" s="4"/>
      <c r="B51" s="32" t="s">
        <v>77</v>
      </c>
      <c r="C51" s="32" t="s">
        <v>45</v>
      </c>
      <c r="D51" s="32" t="s">
        <v>49</v>
      </c>
      <c r="E51" s="32" t="s">
        <v>50</v>
      </c>
      <c r="F51" s="32" t="s">
        <v>51</v>
      </c>
      <c r="G51" s="32" t="s">
        <v>52</v>
      </c>
      <c r="H51" s="32" t="s">
        <v>86</v>
      </c>
      <c r="I51" s="32" t="s">
        <v>59</v>
      </c>
      <c r="J51" s="32" t="s">
        <v>35</v>
      </c>
      <c r="K51" s="32" t="s">
        <v>55</v>
      </c>
      <c r="L51" s="32" t="s">
        <v>54</v>
      </c>
      <c r="M51" s="4"/>
    </row>
    <row r="52" spans="1:19" ht="34.5" customHeight="1" x14ac:dyDescent="0.25">
      <c r="A52" s="4"/>
      <c r="B52" s="66">
        <f t="shared" ref="B52:B55" si="1">+IF($H$2=$B$67,B70,B81)</f>
        <v>1</v>
      </c>
      <c r="C52" s="66" t="str">
        <f t="shared" ref="C52:C55" si="2">+IF($H$2=$B$67,C70,C81)</f>
        <v>No</v>
      </c>
      <c r="D52" s="66" t="str">
        <f t="shared" ref="D52:D55" si="3">+IF($H$2=$B$67,D70,D81)</f>
        <v>Creixent</v>
      </c>
      <c r="E52" s="109">
        <f t="shared" ref="E52:E55" si="4">+IF($H$2=$B$67,E70,E81)</f>
        <v>89.523818841633513</v>
      </c>
      <c r="F52" s="109">
        <f t="shared" ref="F52:F55" si="5">+IF($H$2=$B$67,F70,F81)</f>
        <v>89.523818841633513</v>
      </c>
      <c r="G52" s="109">
        <f t="shared" ref="G52:G55" si="6">+IF($H$2=$B$67,G70,G81)</f>
        <v>89.523818841633528</v>
      </c>
      <c r="H52" s="68">
        <f t="shared" ref="H52:I55" si="7">+IF($H$2=$B$67,H70,H81)</f>
        <v>1425.1364959608309</v>
      </c>
      <c r="I52" s="68">
        <f t="shared" si="7"/>
        <v>1497.9994495898202</v>
      </c>
      <c r="J52" s="111">
        <f t="shared" ref="J52:L53" si="8">+IF($H$2=$B$67,J70,J81)</f>
        <v>-79.491969999999995</v>
      </c>
      <c r="K52" s="111">
        <f t="shared" si="8"/>
        <v>0</v>
      </c>
      <c r="L52" s="111">
        <f t="shared" si="8"/>
        <v>0</v>
      </c>
      <c r="M52" s="4"/>
    </row>
    <row r="53" spans="1:19" ht="34.5" customHeight="1" x14ac:dyDescent="0.25">
      <c r="A53" s="4"/>
      <c r="B53" s="67">
        <f t="shared" si="1"/>
        <v>3</v>
      </c>
      <c r="C53" s="66" t="str">
        <f t="shared" si="2"/>
        <v>Sí</v>
      </c>
      <c r="D53" s="67" t="str">
        <f t="shared" si="3"/>
        <v>Creixent</v>
      </c>
      <c r="E53" s="110">
        <f t="shared" si="4"/>
        <v>90.476174311480577</v>
      </c>
      <c r="F53" s="110">
        <f t="shared" si="5"/>
        <v>90.476174311480705</v>
      </c>
      <c r="G53" s="110">
        <f t="shared" si="6"/>
        <v>200</v>
      </c>
      <c r="H53" s="69">
        <f t="shared" si="7"/>
        <v>648.02989819889626</v>
      </c>
      <c r="I53" s="69">
        <f t="shared" si="7"/>
        <v>681.16172280411115</v>
      </c>
      <c r="J53" s="112">
        <f t="shared" si="8"/>
        <v>-79.491969999999995</v>
      </c>
      <c r="K53" s="112">
        <f t="shared" si="8"/>
        <v>0</v>
      </c>
      <c r="L53" s="112">
        <f t="shared" si="8"/>
        <v>0</v>
      </c>
      <c r="M53" s="4"/>
    </row>
    <row r="54" spans="1:19" ht="34.5" customHeight="1" x14ac:dyDescent="0.25">
      <c r="A54" s="4"/>
      <c r="B54" s="66">
        <f t="shared" si="1"/>
        <v>0</v>
      </c>
      <c r="C54" s="66">
        <f t="shared" si="2"/>
        <v>0</v>
      </c>
      <c r="D54" s="66">
        <f t="shared" si="3"/>
        <v>0</v>
      </c>
      <c r="E54" s="109">
        <f t="shared" si="4"/>
        <v>0</v>
      </c>
      <c r="F54" s="109">
        <f t="shared" si="5"/>
        <v>0</v>
      </c>
      <c r="G54" s="109">
        <f t="shared" si="6"/>
        <v>0</v>
      </c>
      <c r="H54" s="68">
        <f t="shared" si="7"/>
        <v>0</v>
      </c>
      <c r="I54" s="68">
        <f t="shared" si="7"/>
        <v>0</v>
      </c>
      <c r="J54" s="111">
        <f t="shared" ref="J54:L55" si="9">+IF($H$2=$B$67,J72,I83)</f>
        <v>0</v>
      </c>
      <c r="K54" s="111">
        <f t="shared" si="9"/>
        <v>0</v>
      </c>
      <c r="L54" s="111">
        <f t="shared" si="9"/>
        <v>0</v>
      </c>
      <c r="M54" s="4"/>
    </row>
    <row r="55" spans="1:19" ht="34.5" customHeight="1" x14ac:dyDescent="0.25">
      <c r="A55" s="4"/>
      <c r="B55" s="67">
        <f t="shared" si="1"/>
        <v>0</v>
      </c>
      <c r="C55" s="66">
        <f t="shared" si="2"/>
        <v>0</v>
      </c>
      <c r="D55" s="67">
        <f t="shared" si="3"/>
        <v>0</v>
      </c>
      <c r="E55" s="110">
        <f t="shared" si="4"/>
        <v>0</v>
      </c>
      <c r="F55" s="110">
        <f t="shared" si="5"/>
        <v>0</v>
      </c>
      <c r="G55" s="110">
        <f t="shared" si="6"/>
        <v>0</v>
      </c>
      <c r="H55" s="69">
        <f t="shared" si="7"/>
        <v>0</v>
      </c>
      <c r="I55" s="69">
        <f t="shared" si="7"/>
        <v>0</v>
      </c>
      <c r="J55" s="112">
        <f t="shared" si="9"/>
        <v>0</v>
      </c>
      <c r="K55" s="112">
        <f t="shared" si="9"/>
        <v>0</v>
      </c>
      <c r="L55" s="112">
        <f t="shared" si="9"/>
        <v>0</v>
      </c>
      <c r="M55" s="4"/>
    </row>
    <row r="56" spans="1:19" x14ac:dyDescent="0.25">
      <c r="A56" s="4"/>
      <c r="B56" s="4"/>
      <c r="C56" s="4"/>
      <c r="D56" s="4"/>
      <c r="E56" s="4"/>
      <c r="F56" s="4"/>
      <c r="G56" s="4"/>
      <c r="H56" s="4"/>
      <c r="I56" s="4"/>
      <c r="J56" s="4"/>
      <c r="K56" s="4"/>
      <c r="L56" s="4"/>
    </row>
    <row r="57" spans="1:19" x14ac:dyDescent="0.25">
      <c r="A57" s="4"/>
      <c r="B57" s="70" t="s">
        <v>60</v>
      </c>
      <c r="C57" s="4"/>
      <c r="D57" s="4"/>
      <c r="E57" s="4"/>
      <c r="F57" s="4"/>
      <c r="G57" s="4"/>
      <c r="H57" s="4"/>
      <c r="I57" s="4"/>
      <c r="J57" s="4"/>
      <c r="K57" s="4"/>
      <c r="L57" s="4"/>
    </row>
    <row r="58" spans="1:19" x14ac:dyDescent="0.25">
      <c r="A58" s="4"/>
      <c r="B58" s="70" t="s">
        <v>63</v>
      </c>
      <c r="C58" s="4"/>
      <c r="D58" s="4"/>
      <c r="E58" s="4"/>
      <c r="F58" s="4"/>
      <c r="G58" s="4"/>
      <c r="H58" s="4"/>
      <c r="I58" s="4"/>
      <c r="J58" s="4"/>
      <c r="K58" s="4"/>
      <c r="L58" s="4"/>
    </row>
    <row r="59" spans="1:19" x14ac:dyDescent="0.25">
      <c r="A59" s="4"/>
      <c r="B59" s="4"/>
      <c r="C59" s="4"/>
      <c r="D59" s="4"/>
      <c r="E59" s="4"/>
      <c r="F59" s="4"/>
      <c r="G59" s="4"/>
      <c r="H59" s="4"/>
      <c r="I59" s="4"/>
      <c r="J59" s="4"/>
      <c r="K59" s="4"/>
      <c r="L59" s="4"/>
    </row>
    <row r="60" spans="1:19" ht="15" customHeight="1" x14ac:dyDescent="0.35">
      <c r="S60" s="86"/>
    </row>
    <row r="61" spans="1:19" ht="15" customHeight="1" x14ac:dyDescent="0.35">
      <c r="S61" s="86"/>
    </row>
    <row r="62" spans="1:19" ht="15" customHeight="1" x14ac:dyDescent="0.25"/>
    <row r="63" spans="1:19" ht="15" customHeight="1" x14ac:dyDescent="0.25"/>
    <row r="64" spans="1:19" ht="15" customHeight="1" x14ac:dyDescent="0.25"/>
    <row r="65" spans="2:12" ht="15" customHeight="1" x14ac:dyDescent="0.25"/>
    <row r="66" spans="2:12" ht="15" hidden="1" customHeight="1" x14ac:dyDescent="0.25"/>
    <row r="67" spans="2:12" ht="15" hidden="1" customHeight="1" x14ac:dyDescent="0.25">
      <c r="B67" t="s">
        <v>43</v>
      </c>
    </row>
    <row r="68" spans="2:12" ht="15" hidden="1" customHeight="1" x14ac:dyDescent="0.25"/>
    <row r="69" spans="2:12" ht="30" hidden="1" customHeight="1" x14ac:dyDescent="0.25">
      <c r="B69" s="36" t="s">
        <v>53</v>
      </c>
      <c r="C69" s="37" t="s">
        <v>45</v>
      </c>
      <c r="D69" s="37" t="s">
        <v>49</v>
      </c>
      <c r="E69" s="38" t="s">
        <v>50</v>
      </c>
      <c r="F69" s="38" t="s">
        <v>51</v>
      </c>
      <c r="G69" s="38" t="s">
        <v>52</v>
      </c>
      <c r="H69" s="38" t="s">
        <v>86</v>
      </c>
      <c r="I69" s="38" t="s">
        <v>59</v>
      </c>
      <c r="J69" s="38" t="s">
        <v>35</v>
      </c>
      <c r="K69" s="38" t="s">
        <v>55</v>
      </c>
      <c r="L69" s="39" t="s">
        <v>54</v>
      </c>
    </row>
    <row r="70" spans="2:12" ht="15" hidden="1" customHeight="1" x14ac:dyDescent="0.25">
      <c r="B70" s="40">
        <v>1</v>
      </c>
      <c r="C70" s="41" t="s">
        <v>58</v>
      </c>
      <c r="D70" s="41" t="s">
        <v>56</v>
      </c>
      <c r="E70" s="45">
        <f>+'3.0 creixent'!$B$26</f>
        <v>88.235289392505607</v>
      </c>
      <c r="F70" s="45">
        <f>+'3.0 creixent'!$C$26</f>
        <v>88.235289392505607</v>
      </c>
      <c r="G70" s="45">
        <f>+'3.0 creixent'!$D$26</f>
        <v>88.235289392505578</v>
      </c>
      <c r="H70" s="48">
        <f>+'3.0 creixent'!$K$44</f>
        <v>1959.5985092562196</v>
      </c>
      <c r="I70" s="48">
        <f>+'3.0 creixent'!$K$44*1.051127</f>
        <v>2059.7869022389623</v>
      </c>
      <c r="J70" s="48">
        <f>+'3.0 creixent'!$K$46</f>
        <v>-9.0447600000000001</v>
      </c>
      <c r="K70" s="48">
        <f>+'3.0 creixent'!$K$47</f>
        <v>0</v>
      </c>
      <c r="L70" s="49">
        <f>+'3.0 creixent'!$K$48</f>
        <v>0</v>
      </c>
    </row>
    <row r="71" spans="2:12" ht="15" hidden="1" customHeight="1" x14ac:dyDescent="0.25">
      <c r="B71" s="42">
        <v>2</v>
      </c>
      <c r="C71" s="43" t="s">
        <v>58</v>
      </c>
      <c r="D71" s="44" t="s">
        <v>57</v>
      </c>
      <c r="E71" s="46">
        <f>+'3.0 òptim'!$B$26</f>
        <v>90.47618162022691</v>
      </c>
      <c r="F71" s="46">
        <f>+'3.0 òptim'!$C$26</f>
        <v>87.619060931918071</v>
      </c>
      <c r="G71" s="46">
        <f>+'3.0 òptim'!$D$26</f>
        <v>69.038789525577485</v>
      </c>
      <c r="H71" s="50">
        <f>+'3.0 òptim'!$K$44</f>
        <v>2103.7930247914555</v>
      </c>
      <c r="I71" s="50">
        <f>+'3.0 òptim'!$K$44*1.051127</f>
        <v>2211.3536507699682</v>
      </c>
      <c r="J71" s="50">
        <f>+'3.0 òptim'!$K$46</f>
        <v>-9.0447600000000001</v>
      </c>
      <c r="K71" s="50">
        <f>+'3.0 òptim'!$K$47</f>
        <v>0</v>
      </c>
      <c r="L71" s="51">
        <f>+'3.0 òptim'!$K$48</f>
        <v>0</v>
      </c>
    </row>
    <row r="72" spans="2:12" ht="15" hidden="1" customHeight="1" x14ac:dyDescent="0.25">
      <c r="B72" s="40">
        <v>3</v>
      </c>
      <c r="C72" s="41" t="s">
        <v>46</v>
      </c>
      <c r="D72" s="41" t="s">
        <v>56</v>
      </c>
      <c r="E72" s="45">
        <f>+'3.0 creixent P3fix'!$B$26</f>
        <v>90.476166709830494</v>
      </c>
      <c r="F72" s="45">
        <f>+'3.0 creixent P3fix'!$C$26</f>
        <v>90.476166709830494</v>
      </c>
      <c r="G72" s="45">
        <f>+'3.0 creixent P3fix'!$D$26</f>
        <v>200</v>
      </c>
      <c r="H72" s="48">
        <f>+'3.0 creixent P3fix'!$K$44</f>
        <v>438.69205974766555</v>
      </c>
      <c r="I72" s="48">
        <f>+'3.0 creixent P3fix'!$K$44*1.051127</f>
        <v>461.12106868638443</v>
      </c>
      <c r="J72" s="48">
        <f>+'3.0 creixent P3fix'!$K$46</f>
        <v>-9.0447600000000001</v>
      </c>
      <c r="K72" s="48">
        <f>+'3.0 creixent P3fix'!$K$47</f>
        <v>0</v>
      </c>
      <c r="L72" s="49">
        <f>+'3.0 creixent P3fix'!$K$48</f>
        <v>0</v>
      </c>
    </row>
    <row r="73" spans="2:12" ht="15" hidden="1" customHeight="1" x14ac:dyDescent="0.25">
      <c r="B73" s="33">
        <v>4</v>
      </c>
      <c r="C73" s="35" t="s">
        <v>46</v>
      </c>
      <c r="D73" s="34" t="s">
        <v>57</v>
      </c>
      <c r="E73" s="47">
        <f>+'3.0 òptim P3fix'!$B$26</f>
        <v>90.476144166100696</v>
      </c>
      <c r="F73" s="47">
        <f>+'3.0 òptim P3fix'!$C$26</f>
        <v>87.619089794048733</v>
      </c>
      <c r="G73" s="47">
        <f>+'3.0 òptim P3fix'!$D$26</f>
        <v>200</v>
      </c>
      <c r="H73" s="52">
        <f>+'3.0 òptim P3fix'!$K$44</f>
        <v>441.31022346408827</v>
      </c>
      <c r="I73" s="52">
        <f>+'3.0 òptim P3fix'!$K$44*1.051127</f>
        <v>463.87309125913669</v>
      </c>
      <c r="J73" s="52">
        <f>+'3.0 òptim P3fix'!$K$46</f>
        <v>-9.0447600000000001</v>
      </c>
      <c r="K73" s="52">
        <f>+'3.0 òptim P3fix'!$K$47</f>
        <v>0</v>
      </c>
      <c r="L73" s="53">
        <f>+'3.0 òptim P3fix'!$K$48</f>
        <v>0</v>
      </c>
    </row>
    <row r="74" spans="2:12" ht="15" hidden="1" customHeight="1" x14ac:dyDescent="0.25"/>
    <row r="75" spans="2:12" ht="15" hidden="1" customHeight="1" x14ac:dyDescent="0.25"/>
    <row r="76" spans="2:12" ht="15" hidden="1" customHeight="1" x14ac:dyDescent="0.25"/>
    <row r="77" spans="2:12" ht="15" hidden="1" customHeight="1" x14ac:dyDescent="0.25"/>
    <row r="78" spans="2:12" ht="15" hidden="1" customHeight="1" x14ac:dyDescent="0.25">
      <c r="B78" t="s">
        <v>47</v>
      </c>
    </row>
    <row r="79" spans="2:12" ht="15" hidden="1" customHeight="1" x14ac:dyDescent="0.25"/>
    <row r="80" spans="2:12" ht="30" hidden="1" customHeight="1" x14ac:dyDescent="0.25">
      <c r="B80" s="36" t="s">
        <v>53</v>
      </c>
      <c r="C80" s="37" t="s">
        <v>45</v>
      </c>
      <c r="D80" s="37" t="s">
        <v>49</v>
      </c>
      <c r="E80" s="38" t="s">
        <v>50</v>
      </c>
      <c r="F80" s="38" t="s">
        <v>51</v>
      </c>
      <c r="G80" s="38" t="s">
        <v>52</v>
      </c>
      <c r="H80" s="38" t="s">
        <v>86</v>
      </c>
      <c r="I80" s="38" t="s">
        <v>59</v>
      </c>
      <c r="J80" s="38" t="s">
        <v>35</v>
      </c>
      <c r="K80" s="38" t="s">
        <v>55</v>
      </c>
      <c r="L80" s="39" t="s">
        <v>54</v>
      </c>
    </row>
    <row r="81" spans="2:12" ht="15" hidden="1" customHeight="1" x14ac:dyDescent="0.25">
      <c r="B81" s="55">
        <v>1</v>
      </c>
      <c r="C81" s="56" t="s">
        <v>58</v>
      </c>
      <c r="D81" s="56" t="s">
        <v>56</v>
      </c>
      <c r="E81" s="57">
        <f>+'3.1'!$B$26</f>
        <v>89.523818841633513</v>
      </c>
      <c r="F81" s="57">
        <f>+'3.1'!$C$26</f>
        <v>89.523818841633513</v>
      </c>
      <c r="G81" s="57">
        <f>+'3.1'!$D$26</f>
        <v>89.523818841633528</v>
      </c>
      <c r="H81" s="58">
        <f>+'3.1'!$K$44</f>
        <v>1425.1364959608309</v>
      </c>
      <c r="I81" s="58">
        <f>H81*1.051127</f>
        <v>1497.9994495898202</v>
      </c>
      <c r="J81" s="58">
        <f>+'3.1'!$K$46</f>
        <v>-79.491969999999995</v>
      </c>
      <c r="K81" s="58">
        <f>+'3.1'!$K$47</f>
        <v>0</v>
      </c>
      <c r="L81" s="59">
        <f>+'3.1'!$K$48</f>
        <v>0</v>
      </c>
    </row>
    <row r="82" spans="2:12" ht="15" hidden="1" customHeight="1" x14ac:dyDescent="0.25">
      <c r="B82" s="60">
        <v>3</v>
      </c>
      <c r="C82" s="61" t="s">
        <v>46</v>
      </c>
      <c r="D82" s="62" t="s">
        <v>56</v>
      </c>
      <c r="E82" s="63">
        <f>+'3.1 P3fix'!$B$26</f>
        <v>90.476174311480577</v>
      </c>
      <c r="F82" s="63">
        <f>+'3.1 P3fix'!$C$26</f>
        <v>90.476174311480705</v>
      </c>
      <c r="G82" s="63">
        <f>+'3.1 P3fix'!$D$26</f>
        <v>200</v>
      </c>
      <c r="H82" s="64">
        <f>+'3.1 P3fix'!$K$44</f>
        <v>648.02989819889626</v>
      </c>
      <c r="I82" s="64">
        <f>H82*1.051127</f>
        <v>681.16172280411115</v>
      </c>
      <c r="J82" s="64">
        <f>+'3.1 P3fix'!$K$46</f>
        <v>-79.491969999999995</v>
      </c>
      <c r="K82" s="64">
        <f>+'3.1 P3fix'!$K$47</f>
        <v>0</v>
      </c>
      <c r="L82" s="65">
        <f>+'3.1 P3fix'!$K$48</f>
        <v>0</v>
      </c>
    </row>
    <row r="83" spans="2:12" hidden="1" x14ac:dyDescent="0.25"/>
    <row r="84" spans="2:12" hidden="1" x14ac:dyDescent="0.25"/>
  </sheetData>
  <mergeCells count="2">
    <mergeCell ref="B4:K6"/>
    <mergeCell ref="B11:K14"/>
  </mergeCells>
  <conditionalFormatting sqref="E26:F37">
    <cfRule type="colorScale" priority="1">
      <colorScale>
        <cfvo type="min"/>
        <cfvo type="percentile" val="50"/>
        <cfvo type="max"/>
        <color rgb="FF5A8AC6"/>
        <color rgb="FFFCFCFF"/>
        <color rgb="FFF8696B"/>
      </colorScale>
    </cfRule>
  </conditionalFormatting>
  <dataValidations count="2">
    <dataValidation type="list" allowBlank="1" showInputMessage="1" showErrorMessage="1" sqref="G8">
      <formula1>$N$8:$N$9</formula1>
    </dataValidation>
    <dataValidation type="list" allowBlank="1" showInputMessage="1" showErrorMessage="1" sqref="G16">
      <formula1>$N$16:$N$17</formula1>
    </dataValidation>
  </dataValidations>
  <pageMargins left="0.7" right="0.7" top="0.75" bottom="0.75" header="0.3" footer="0.3"/>
  <pageSetup paperSize="9" orientation="landscape"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2"/>
  <dimension ref="A1:W52"/>
  <sheetViews>
    <sheetView zoomScale="120" zoomScaleNormal="120" workbookViewId="0">
      <selection activeCell="K50" sqref="K50"/>
    </sheetView>
  </sheetViews>
  <sheetFormatPr defaultRowHeight="15" x14ac:dyDescent="0.25"/>
  <cols>
    <col min="1" max="1" width="12.85546875" customWidth="1"/>
    <col min="2" max="10" width="13.85546875" customWidth="1"/>
    <col min="11" max="11" width="17.5703125" customWidth="1"/>
    <col min="15" max="19" width="10" customWidth="1"/>
    <col min="20" max="20" width="11.5703125" bestFit="1" customWidth="1"/>
    <col min="22" max="22" width="9.5703125" bestFit="1" customWidth="1"/>
  </cols>
  <sheetData>
    <row r="1" spans="1:22" x14ac:dyDescent="0.25">
      <c r="A1" s="4"/>
      <c r="B1" s="4"/>
      <c r="C1" s="4"/>
      <c r="D1" s="4"/>
      <c r="E1" s="4"/>
      <c r="F1" s="4"/>
      <c r="G1" s="4"/>
      <c r="H1" s="4"/>
      <c r="I1" s="4"/>
      <c r="J1" s="4"/>
      <c r="K1" s="4"/>
    </row>
    <row r="2" spans="1:22" ht="23.25" x14ac:dyDescent="0.35">
      <c r="A2" s="17" t="s">
        <v>80</v>
      </c>
      <c r="B2" s="4"/>
      <c r="C2" s="4"/>
      <c r="D2" s="4"/>
      <c r="E2" s="4"/>
      <c r="F2" s="4"/>
      <c r="G2" s="4"/>
      <c r="H2" s="4"/>
      <c r="I2" s="4"/>
      <c r="J2" s="4"/>
      <c r="K2" s="4"/>
    </row>
    <row r="3" spans="1:22" x14ac:dyDescent="0.25">
      <c r="A3" s="4"/>
      <c r="B3" s="4"/>
      <c r="C3" s="4"/>
      <c r="D3" s="4"/>
      <c r="E3" s="4"/>
      <c r="F3" s="4"/>
      <c r="G3" s="4"/>
      <c r="H3" s="4"/>
      <c r="I3" s="4"/>
      <c r="J3" s="4"/>
      <c r="K3" s="4"/>
    </row>
    <row r="4" spans="1:22" x14ac:dyDescent="0.25">
      <c r="A4" s="113"/>
      <c r="B4" s="114" t="s">
        <v>3</v>
      </c>
      <c r="C4" s="114" t="s">
        <v>4</v>
      </c>
      <c r="D4" s="114" t="s">
        <v>5</v>
      </c>
      <c r="E4" s="113"/>
      <c r="F4" s="113"/>
      <c r="G4" s="113"/>
      <c r="H4" s="114" t="s">
        <v>10</v>
      </c>
      <c r="I4" s="114" t="s">
        <v>11</v>
      </c>
      <c r="J4" s="114" t="s">
        <v>12</v>
      </c>
      <c r="K4" s="113"/>
    </row>
    <row r="5" spans="1:22" ht="21" x14ac:dyDescent="0.35">
      <c r="A5" s="113"/>
      <c r="B5" s="115">
        <f>+'Entrada de dades'!C11</f>
        <v>100</v>
      </c>
      <c r="C5" s="115">
        <f>+'Entrada de dades'!D11</f>
        <v>110</v>
      </c>
      <c r="D5" s="115">
        <f>+'Entrada de dades'!E11</f>
        <v>200</v>
      </c>
      <c r="E5" s="113"/>
      <c r="F5" s="113"/>
      <c r="G5" s="113"/>
      <c r="H5" s="114">
        <f>'Entrada de dades'!D2</f>
        <v>40.728884999999998</v>
      </c>
      <c r="I5" s="114">
        <f>'Entrada de dades'!E2</f>
        <v>24.437329999999999</v>
      </c>
      <c r="J5" s="114">
        <f>'Entrada de dades'!F2</f>
        <v>16.291554999999999</v>
      </c>
      <c r="K5" s="113"/>
      <c r="O5" s="29"/>
      <c r="P5" s="29"/>
      <c r="Q5" s="29"/>
      <c r="R5" s="29"/>
      <c r="S5" s="29"/>
      <c r="T5" s="29"/>
    </row>
    <row r="6" spans="1:22" x14ac:dyDescent="0.25">
      <c r="A6" s="113"/>
      <c r="B6" s="116"/>
      <c r="C6" s="116"/>
      <c r="D6" s="116"/>
      <c r="E6" s="113"/>
      <c r="F6" s="113"/>
      <c r="G6" s="113"/>
      <c r="H6" s="113"/>
      <c r="I6" s="113"/>
      <c r="J6" s="113"/>
      <c r="K6" s="113"/>
      <c r="V6" s="29"/>
    </row>
    <row r="7" spans="1:22" x14ac:dyDescent="0.25">
      <c r="A7" s="117" t="s">
        <v>9</v>
      </c>
      <c r="B7" s="118" t="s">
        <v>22</v>
      </c>
      <c r="C7" s="118" t="s">
        <v>21</v>
      </c>
      <c r="D7" s="118" t="s">
        <v>20</v>
      </c>
      <c r="E7" s="118" t="s">
        <v>19</v>
      </c>
      <c r="F7" s="118" t="s">
        <v>18</v>
      </c>
      <c r="G7" s="118" t="s">
        <v>17</v>
      </c>
      <c r="H7" s="118" t="s">
        <v>13</v>
      </c>
      <c r="I7" s="118" t="s">
        <v>14</v>
      </c>
      <c r="J7" s="118" t="s">
        <v>15</v>
      </c>
      <c r="K7" s="118" t="s">
        <v>16</v>
      </c>
    </row>
    <row r="8" spans="1:22" x14ac:dyDescent="0.25">
      <c r="A8" s="119" t="s">
        <v>25</v>
      </c>
      <c r="B8" s="120">
        <f>+'Entrada de dades'!C16</f>
        <v>82</v>
      </c>
      <c r="C8" s="120">
        <f>+'Entrada de dades'!D16</f>
        <v>81</v>
      </c>
      <c r="D8" s="120">
        <f>+'Entrada de dades'!E16</f>
        <v>72</v>
      </c>
      <c r="E8" s="121">
        <f>+IF(B8&lt;(0.85*B$5),0.85*B$5,IF(B8&gt;(1.05*B$5),B8+2*(B8-1.05*B$5),B8))</f>
        <v>85</v>
      </c>
      <c r="F8" s="121">
        <f t="shared" ref="F8:F19" si="0">+IF(C8&lt;(0.85*C$5),0.85*C$5,IF(C8&gt;(1.05*C$5),C8+2*(C8-1.05*C$5),C8))</f>
        <v>93.5</v>
      </c>
      <c r="G8" s="121">
        <f>+IF(D8&lt;(0.85*D$5),0.85*D$5,IF(D8&gt;(1.05*D$5),D8+2*(D8-1.05*D$5),D8))</f>
        <v>170</v>
      </c>
      <c r="H8" s="122">
        <f>+H$5*E8/12</f>
        <v>288.49626874999996</v>
      </c>
      <c r="I8" s="122">
        <f t="shared" ref="I8:I19" si="1">+I$5*F8/12</f>
        <v>190.40752958333334</v>
      </c>
      <c r="J8" s="122">
        <f t="shared" ref="J8:J19" si="2">+J$5*G8/12</f>
        <v>230.79702916666665</v>
      </c>
      <c r="K8" s="123">
        <f>SUM(H8:J8)</f>
        <v>709.70082749999995</v>
      </c>
    </row>
    <row r="9" spans="1:22" x14ac:dyDescent="0.25">
      <c r="A9" s="124" t="s">
        <v>26</v>
      </c>
      <c r="B9" s="125">
        <f>+'Entrada de dades'!C17</f>
        <v>20</v>
      </c>
      <c r="C9" s="125">
        <f>+'Entrada de dades'!D17</f>
        <v>80</v>
      </c>
      <c r="D9" s="125">
        <f>+'Entrada de dades'!E17</f>
        <v>70</v>
      </c>
      <c r="E9" s="126">
        <f t="shared" ref="E9:E19" si="3">+IF(B9&lt;(0.85*B$5),0.85*B$5,IF(B9&gt;(1.05*B$5),B9+2*(B9-1.05*B$5),B9))</f>
        <v>85</v>
      </c>
      <c r="F9" s="126">
        <f t="shared" si="0"/>
        <v>93.5</v>
      </c>
      <c r="G9" s="126">
        <f t="shared" ref="G9:G19" si="4">+IF(D9&lt;(0.85*D$5),0.85*D$5,IF(D9&gt;(1.05*D$5),D9+2*(D9-1.05*D$5),D9))</f>
        <v>170</v>
      </c>
      <c r="H9" s="127">
        <f t="shared" ref="H9:H19" si="5">+H$5*E9/12</f>
        <v>288.49626874999996</v>
      </c>
      <c r="I9" s="127">
        <f t="shared" si="1"/>
        <v>190.40752958333334</v>
      </c>
      <c r="J9" s="127">
        <f t="shared" si="2"/>
        <v>230.79702916666665</v>
      </c>
      <c r="K9" s="128">
        <f t="shared" ref="K9:K18" si="6">SUM(H9:J9)</f>
        <v>709.70082749999995</v>
      </c>
    </row>
    <row r="10" spans="1:22" x14ac:dyDescent="0.25">
      <c r="A10" s="119" t="s">
        <v>0</v>
      </c>
      <c r="B10" s="120">
        <f>+'Entrada de dades'!C18</f>
        <v>80</v>
      </c>
      <c r="C10" s="120">
        <f>+'Entrada de dades'!D18</f>
        <v>80</v>
      </c>
      <c r="D10" s="120">
        <f>+'Entrada de dades'!E18</f>
        <v>56</v>
      </c>
      <c r="E10" s="121">
        <f t="shared" si="3"/>
        <v>85</v>
      </c>
      <c r="F10" s="121">
        <f t="shared" si="0"/>
        <v>93.5</v>
      </c>
      <c r="G10" s="121">
        <f t="shared" si="4"/>
        <v>170</v>
      </c>
      <c r="H10" s="122">
        <f t="shared" si="5"/>
        <v>288.49626874999996</v>
      </c>
      <c r="I10" s="122">
        <f t="shared" si="1"/>
        <v>190.40752958333334</v>
      </c>
      <c r="J10" s="122">
        <f t="shared" si="2"/>
        <v>230.79702916666665</v>
      </c>
      <c r="K10" s="123">
        <f t="shared" si="6"/>
        <v>709.70082749999995</v>
      </c>
    </row>
    <row r="11" spans="1:22" x14ac:dyDescent="0.25">
      <c r="A11" s="124" t="s">
        <v>27</v>
      </c>
      <c r="B11" s="125">
        <f>+'Entrada de dades'!C19</f>
        <v>90</v>
      </c>
      <c r="C11" s="125">
        <f>+'Entrada de dades'!D19</f>
        <v>80</v>
      </c>
      <c r="D11" s="125">
        <f>+'Entrada de dades'!E19</f>
        <v>56</v>
      </c>
      <c r="E11" s="126">
        <f t="shared" si="3"/>
        <v>90</v>
      </c>
      <c r="F11" s="126">
        <f t="shared" si="0"/>
        <v>93.5</v>
      </c>
      <c r="G11" s="126">
        <f t="shared" si="4"/>
        <v>170</v>
      </c>
      <c r="H11" s="127">
        <f t="shared" si="5"/>
        <v>305.46663749999999</v>
      </c>
      <c r="I11" s="127">
        <f t="shared" si="1"/>
        <v>190.40752958333334</v>
      </c>
      <c r="J11" s="127">
        <f t="shared" si="2"/>
        <v>230.79702916666665</v>
      </c>
      <c r="K11" s="128">
        <f t="shared" si="6"/>
        <v>726.67119624999998</v>
      </c>
    </row>
    <row r="12" spans="1:22" x14ac:dyDescent="0.25">
      <c r="A12" s="119" t="s">
        <v>1</v>
      </c>
      <c r="B12" s="120">
        <f>+'Entrada de dades'!C20</f>
        <v>55</v>
      </c>
      <c r="C12" s="120">
        <f>+'Entrada de dades'!D20</f>
        <v>55</v>
      </c>
      <c r="D12" s="120">
        <f>+'Entrada de dades'!E20</f>
        <v>55</v>
      </c>
      <c r="E12" s="121">
        <f t="shared" si="3"/>
        <v>85</v>
      </c>
      <c r="F12" s="121">
        <f t="shared" si="0"/>
        <v>93.5</v>
      </c>
      <c r="G12" s="121">
        <f t="shared" si="4"/>
        <v>170</v>
      </c>
      <c r="H12" s="122">
        <f t="shared" si="5"/>
        <v>288.49626874999996</v>
      </c>
      <c r="I12" s="122">
        <f t="shared" si="1"/>
        <v>190.40752958333334</v>
      </c>
      <c r="J12" s="122">
        <f t="shared" si="2"/>
        <v>230.79702916666665</v>
      </c>
      <c r="K12" s="123">
        <f t="shared" si="6"/>
        <v>709.70082749999995</v>
      </c>
    </row>
    <row r="13" spans="1:22" x14ac:dyDescent="0.25">
      <c r="A13" s="124" t="s">
        <v>2</v>
      </c>
      <c r="B13" s="125">
        <f>+'Entrada de dades'!C21</f>
        <v>31</v>
      </c>
      <c r="C13" s="125">
        <f>+'Entrada de dades'!D21</f>
        <v>30</v>
      </c>
      <c r="D13" s="125">
        <f>+'Entrada de dades'!E21</f>
        <v>58</v>
      </c>
      <c r="E13" s="126">
        <f t="shared" si="3"/>
        <v>85</v>
      </c>
      <c r="F13" s="126">
        <f t="shared" si="0"/>
        <v>93.5</v>
      </c>
      <c r="G13" s="126">
        <f t="shared" si="4"/>
        <v>170</v>
      </c>
      <c r="H13" s="127">
        <f t="shared" si="5"/>
        <v>288.49626874999996</v>
      </c>
      <c r="I13" s="127">
        <f t="shared" si="1"/>
        <v>190.40752958333334</v>
      </c>
      <c r="J13" s="127">
        <f t="shared" si="2"/>
        <v>230.79702916666665</v>
      </c>
      <c r="K13" s="128">
        <f t="shared" si="6"/>
        <v>709.70082749999995</v>
      </c>
    </row>
    <row r="14" spans="1:22" x14ac:dyDescent="0.25">
      <c r="A14" s="119" t="s">
        <v>28</v>
      </c>
      <c r="B14" s="120">
        <f>+'Entrada de dades'!C22</f>
        <v>75</v>
      </c>
      <c r="C14" s="120">
        <f>+'Entrada de dades'!D22</f>
        <v>85</v>
      </c>
      <c r="D14" s="120">
        <f>+'Entrada de dades'!E22</f>
        <v>60</v>
      </c>
      <c r="E14" s="121">
        <f t="shared" si="3"/>
        <v>85</v>
      </c>
      <c r="F14" s="121">
        <f t="shared" si="0"/>
        <v>93.5</v>
      </c>
      <c r="G14" s="121">
        <f t="shared" si="4"/>
        <v>170</v>
      </c>
      <c r="H14" s="122">
        <f t="shared" si="5"/>
        <v>288.49626874999996</v>
      </c>
      <c r="I14" s="122">
        <f t="shared" si="1"/>
        <v>190.40752958333334</v>
      </c>
      <c r="J14" s="122">
        <f t="shared" si="2"/>
        <v>230.79702916666665</v>
      </c>
      <c r="K14" s="123">
        <f t="shared" si="6"/>
        <v>709.70082749999995</v>
      </c>
    </row>
    <row r="15" spans="1:22" x14ac:dyDescent="0.25">
      <c r="A15" s="124" t="s">
        <v>29</v>
      </c>
      <c r="B15" s="125">
        <f>+'Entrada de dades'!C23</f>
        <v>81</v>
      </c>
      <c r="C15" s="125">
        <f>+'Entrada de dades'!D23</f>
        <v>85</v>
      </c>
      <c r="D15" s="125">
        <f>+'Entrada de dades'!E23</f>
        <v>65</v>
      </c>
      <c r="E15" s="126">
        <f t="shared" si="3"/>
        <v>85</v>
      </c>
      <c r="F15" s="126">
        <f t="shared" si="0"/>
        <v>93.5</v>
      </c>
      <c r="G15" s="126">
        <f t="shared" si="4"/>
        <v>170</v>
      </c>
      <c r="H15" s="127">
        <f t="shared" si="5"/>
        <v>288.49626874999996</v>
      </c>
      <c r="I15" s="127">
        <f t="shared" si="1"/>
        <v>190.40752958333334</v>
      </c>
      <c r="J15" s="127">
        <f t="shared" si="2"/>
        <v>230.79702916666665</v>
      </c>
      <c r="K15" s="128">
        <f t="shared" si="6"/>
        <v>709.70082749999995</v>
      </c>
    </row>
    <row r="16" spans="1:22" x14ac:dyDescent="0.25">
      <c r="A16" s="119" t="s">
        <v>30</v>
      </c>
      <c r="B16" s="120">
        <f>+'Entrada de dades'!C24</f>
        <v>78</v>
      </c>
      <c r="C16" s="120">
        <f>+'Entrada de dades'!D24</f>
        <v>85</v>
      </c>
      <c r="D16" s="120">
        <f>+'Entrada de dades'!E24</f>
        <v>85</v>
      </c>
      <c r="E16" s="121">
        <f t="shared" si="3"/>
        <v>85</v>
      </c>
      <c r="F16" s="121">
        <f t="shared" si="0"/>
        <v>93.5</v>
      </c>
      <c r="G16" s="121">
        <f t="shared" si="4"/>
        <v>170</v>
      </c>
      <c r="H16" s="122">
        <f t="shared" si="5"/>
        <v>288.49626874999996</v>
      </c>
      <c r="I16" s="122">
        <f t="shared" si="1"/>
        <v>190.40752958333334</v>
      </c>
      <c r="J16" s="122">
        <f t="shared" si="2"/>
        <v>230.79702916666665</v>
      </c>
      <c r="K16" s="123">
        <f t="shared" si="6"/>
        <v>709.70082749999995</v>
      </c>
    </row>
    <row r="17" spans="1:23" x14ac:dyDescent="0.25">
      <c r="A17" s="124" t="s">
        <v>31</v>
      </c>
      <c r="B17" s="125">
        <f>+'Entrada de dades'!C25</f>
        <v>95</v>
      </c>
      <c r="C17" s="125">
        <f>+'Entrada de dades'!D25</f>
        <v>60</v>
      </c>
      <c r="D17" s="125">
        <f>+'Entrada de dades'!E25</f>
        <v>75</v>
      </c>
      <c r="E17" s="126">
        <f t="shared" si="3"/>
        <v>95</v>
      </c>
      <c r="F17" s="126">
        <f t="shared" si="0"/>
        <v>93.5</v>
      </c>
      <c r="G17" s="126">
        <f t="shared" si="4"/>
        <v>170</v>
      </c>
      <c r="H17" s="127">
        <f t="shared" si="5"/>
        <v>322.43700624999997</v>
      </c>
      <c r="I17" s="127">
        <f t="shared" si="1"/>
        <v>190.40752958333334</v>
      </c>
      <c r="J17" s="127">
        <f t="shared" si="2"/>
        <v>230.79702916666665</v>
      </c>
      <c r="K17" s="128">
        <f t="shared" si="6"/>
        <v>743.64156500000001</v>
      </c>
    </row>
    <row r="18" spans="1:23" x14ac:dyDescent="0.25">
      <c r="A18" s="119" t="s">
        <v>32</v>
      </c>
      <c r="B18" s="120">
        <f>+'Entrada de dades'!C26</f>
        <v>94</v>
      </c>
      <c r="C18" s="120">
        <f>+'Entrada de dades'!D26</f>
        <v>92</v>
      </c>
      <c r="D18" s="120">
        <f>+'Entrada de dades'!E26</f>
        <v>55</v>
      </c>
      <c r="E18" s="121">
        <f t="shared" si="3"/>
        <v>94</v>
      </c>
      <c r="F18" s="121">
        <f t="shared" si="0"/>
        <v>93.5</v>
      </c>
      <c r="G18" s="121">
        <f t="shared" si="4"/>
        <v>170</v>
      </c>
      <c r="H18" s="122">
        <f t="shared" si="5"/>
        <v>319.04293249999995</v>
      </c>
      <c r="I18" s="122">
        <f t="shared" si="1"/>
        <v>190.40752958333334</v>
      </c>
      <c r="J18" s="122">
        <f t="shared" si="2"/>
        <v>230.79702916666665</v>
      </c>
      <c r="K18" s="123">
        <f t="shared" si="6"/>
        <v>740.24749124999994</v>
      </c>
    </row>
    <row r="19" spans="1:23" x14ac:dyDescent="0.25">
      <c r="A19" s="124" t="s">
        <v>33</v>
      </c>
      <c r="B19" s="125">
        <f>+'Entrada de dades'!C27</f>
        <v>95</v>
      </c>
      <c r="C19" s="125">
        <f>+'Entrada de dades'!D27</f>
        <v>95</v>
      </c>
      <c r="D19" s="125">
        <f>+'Entrada de dades'!E27</f>
        <v>65</v>
      </c>
      <c r="E19" s="126">
        <f t="shared" si="3"/>
        <v>95</v>
      </c>
      <c r="F19" s="126">
        <f t="shared" si="0"/>
        <v>95</v>
      </c>
      <c r="G19" s="126">
        <f t="shared" si="4"/>
        <v>170</v>
      </c>
      <c r="H19" s="127">
        <f t="shared" si="5"/>
        <v>322.43700624999997</v>
      </c>
      <c r="I19" s="127">
        <f t="shared" si="1"/>
        <v>193.46219583333334</v>
      </c>
      <c r="J19" s="127">
        <f t="shared" si="2"/>
        <v>230.79702916666665</v>
      </c>
      <c r="K19" s="128">
        <f>SUM(H19:J19)</f>
        <v>746.69623124999998</v>
      </c>
    </row>
    <row r="20" spans="1:23" ht="21" x14ac:dyDescent="0.35">
      <c r="A20" s="113"/>
      <c r="B20" s="116"/>
      <c r="C20" s="116"/>
      <c r="D20" s="116"/>
      <c r="E20" s="116"/>
      <c r="F20" s="116"/>
      <c r="G20" s="116"/>
      <c r="H20" s="129"/>
      <c r="I20" s="129"/>
      <c r="J20" s="130" t="s">
        <v>23</v>
      </c>
      <c r="K20" s="131">
        <f>SUBTOTAL(109,Taula1[CP '[€/mes']])</f>
        <v>8634.8631037499981</v>
      </c>
    </row>
    <row r="21" spans="1:23" x14ac:dyDescent="0.25">
      <c r="A21" s="113"/>
      <c r="B21" s="113"/>
      <c r="C21" s="113"/>
      <c r="D21" s="113"/>
      <c r="E21" s="113"/>
      <c r="F21" s="113"/>
      <c r="G21" s="113"/>
      <c r="H21" s="113"/>
      <c r="I21" s="113"/>
      <c r="J21" s="113"/>
      <c r="K21" s="113"/>
    </row>
    <row r="22" spans="1:23" x14ac:dyDescent="0.25">
      <c r="A22" s="113"/>
      <c r="B22" s="113"/>
      <c r="C22" s="113"/>
      <c r="D22" s="113"/>
      <c r="E22" s="113"/>
      <c r="F22" s="113"/>
      <c r="G22" s="113"/>
      <c r="H22" s="113"/>
      <c r="I22" s="113"/>
      <c r="J22" s="113"/>
      <c r="K22" s="113"/>
    </row>
    <row r="23" spans="1:23" ht="23.25" x14ac:dyDescent="0.35">
      <c r="A23" s="132" t="s">
        <v>81</v>
      </c>
      <c r="B23" s="113"/>
      <c r="C23" s="113"/>
      <c r="D23" s="113"/>
      <c r="E23" s="113"/>
      <c r="F23" s="113"/>
      <c r="G23" s="113"/>
      <c r="H23" s="113"/>
      <c r="I23" s="113"/>
      <c r="J23" s="113"/>
      <c r="K23" s="113"/>
    </row>
    <row r="24" spans="1:23" x14ac:dyDescent="0.25">
      <c r="A24" s="113"/>
      <c r="B24" s="113"/>
      <c r="C24" s="113"/>
      <c r="D24" s="113"/>
      <c r="E24" s="113"/>
      <c r="F24" s="113"/>
      <c r="G24" s="113"/>
      <c r="H24" s="113"/>
      <c r="I24" s="113"/>
      <c r="J24" s="113"/>
      <c r="K24" s="113"/>
    </row>
    <row r="25" spans="1:23" x14ac:dyDescent="0.25">
      <c r="A25" s="113"/>
      <c r="B25" s="114" t="s">
        <v>6</v>
      </c>
      <c r="C25" s="114" t="s">
        <v>7</v>
      </c>
      <c r="D25" s="114" t="s">
        <v>8</v>
      </c>
      <c r="E25" s="113"/>
      <c r="F25" s="113"/>
      <c r="G25" s="113"/>
      <c r="H25" s="114" t="s">
        <v>10</v>
      </c>
      <c r="I25" s="114" t="s">
        <v>11</v>
      </c>
      <c r="J25" s="114" t="s">
        <v>12</v>
      </c>
      <c r="K25" s="113"/>
    </row>
    <row r="26" spans="1:23" ht="21" x14ac:dyDescent="0.35">
      <c r="A26" s="113"/>
      <c r="B26" s="108">
        <v>88.235289392505607</v>
      </c>
      <c r="C26" s="108">
        <v>88.235289392505607</v>
      </c>
      <c r="D26" s="108">
        <v>88.235289392505578</v>
      </c>
      <c r="E26" s="113"/>
      <c r="F26" s="113"/>
      <c r="G26" s="113"/>
      <c r="H26" s="114">
        <f>+H5</f>
        <v>40.728884999999998</v>
      </c>
      <c r="I26" s="114">
        <f t="shared" ref="I26:J26" si="7">+I5</f>
        <v>24.437329999999999</v>
      </c>
      <c r="J26" s="114">
        <f t="shared" si="7"/>
        <v>16.291554999999999</v>
      </c>
      <c r="K26" s="113"/>
    </row>
    <row r="27" spans="1:23" x14ac:dyDescent="0.25">
      <c r="A27" s="113"/>
      <c r="B27" s="116"/>
      <c r="C27" s="116"/>
      <c r="D27" s="116"/>
      <c r="E27" s="113"/>
      <c r="F27" s="113"/>
      <c r="G27" s="113"/>
      <c r="H27" s="113"/>
      <c r="I27" s="113"/>
      <c r="J27" s="113"/>
      <c r="K27" s="113"/>
    </row>
    <row r="28" spans="1:23" x14ac:dyDescent="0.25">
      <c r="A28" s="117" t="s">
        <v>9</v>
      </c>
      <c r="B28" s="118" t="s">
        <v>22</v>
      </c>
      <c r="C28" s="118" t="s">
        <v>21</v>
      </c>
      <c r="D28" s="118" t="s">
        <v>20</v>
      </c>
      <c r="E28" s="118" t="s">
        <v>19</v>
      </c>
      <c r="F28" s="118" t="s">
        <v>18</v>
      </c>
      <c r="G28" s="118" t="s">
        <v>17</v>
      </c>
      <c r="H28" s="118" t="s">
        <v>13</v>
      </c>
      <c r="I28" s="118" t="s">
        <v>14</v>
      </c>
      <c r="J28" s="118" t="s">
        <v>15</v>
      </c>
      <c r="K28" s="118" t="s">
        <v>16</v>
      </c>
    </row>
    <row r="29" spans="1:23" x14ac:dyDescent="0.25">
      <c r="A29" s="119" t="s">
        <v>25</v>
      </c>
      <c r="B29" s="120">
        <f t="shared" ref="B29:D40" si="8">+B8</f>
        <v>82</v>
      </c>
      <c r="C29" s="120">
        <f t="shared" si="8"/>
        <v>81</v>
      </c>
      <c r="D29" s="120">
        <f t="shared" si="8"/>
        <v>72</v>
      </c>
      <c r="E29" s="121">
        <f>+IF(B29&lt;(0.85*B$26),0.85*B$26,IF(B29&gt;(1.05*B$26),B29+2*(B29-1.05*B$26),B29))</f>
        <v>82</v>
      </c>
      <c r="F29" s="121">
        <f>+IF(C29&lt;(0.85*C$26),0.85*C$26,IF(C29&gt;(1.05*C$26),C29+2*(C29-1.05*C$26),C29))</f>
        <v>81</v>
      </c>
      <c r="G29" s="121">
        <f t="shared" ref="G29:G40" si="9">+IF(D29&lt;(0.85*D$26),0.85*D$26,IF(D29&gt;(1.05*D$26),D29+2*(D29-1.05*D$26),D29))</f>
        <v>74.999995983629745</v>
      </c>
      <c r="H29" s="122">
        <f>+H$26*E29/12</f>
        <v>278.31404749999996</v>
      </c>
      <c r="I29" s="122">
        <f t="shared" ref="I29:I40" si="10">+I$26*F29/12</f>
        <v>164.9519775</v>
      </c>
      <c r="J29" s="122">
        <f t="shared" ref="J29:J40" si="11">+J$26*G29/12</f>
        <v>101.82221329725691</v>
      </c>
      <c r="K29" s="123">
        <f>SUM(H29:J29)</f>
        <v>545.08823829725691</v>
      </c>
      <c r="W29" s="30"/>
    </row>
    <row r="30" spans="1:23" x14ac:dyDescent="0.25">
      <c r="A30" s="124" t="s">
        <v>26</v>
      </c>
      <c r="B30" s="125">
        <f t="shared" si="8"/>
        <v>20</v>
      </c>
      <c r="C30" s="125">
        <f t="shared" si="8"/>
        <v>80</v>
      </c>
      <c r="D30" s="125">
        <f t="shared" si="8"/>
        <v>70</v>
      </c>
      <c r="E30" s="126">
        <f t="shared" ref="E30:E40" si="12">+IF(B30&lt;(0.85*B$26),0.85*B$26,IF(B30&gt;(1.05*B$26),B30+2*(B30-1.05*B$26),B30))</f>
        <v>74.999995983629759</v>
      </c>
      <c r="F30" s="126">
        <f t="shared" ref="F30:F40" si="13">+IF(C30&lt;(0.85*C$26),0.85*C$26,IF(C30&gt;(1.05*C$26),C30+2*(C30-1.05*C$26),C30))</f>
        <v>80</v>
      </c>
      <c r="G30" s="126">
        <f t="shared" si="9"/>
        <v>74.999995983629745</v>
      </c>
      <c r="H30" s="127">
        <f t="shared" ref="H30:H40" si="14">+H$26*E30/12</f>
        <v>254.5555176181432</v>
      </c>
      <c r="I30" s="127">
        <f t="shared" si="10"/>
        <v>162.91553333333334</v>
      </c>
      <c r="J30" s="127">
        <f t="shared" si="11"/>
        <v>101.82221329725691</v>
      </c>
      <c r="K30" s="128">
        <f t="shared" ref="K30:K40" si="15">SUM(H30:J30)</f>
        <v>519.29326424873341</v>
      </c>
    </row>
    <row r="31" spans="1:23" x14ac:dyDescent="0.25">
      <c r="A31" s="119" t="s">
        <v>0</v>
      </c>
      <c r="B31" s="120">
        <f t="shared" si="8"/>
        <v>80</v>
      </c>
      <c r="C31" s="120">
        <f t="shared" si="8"/>
        <v>80</v>
      </c>
      <c r="D31" s="120">
        <f t="shared" si="8"/>
        <v>56</v>
      </c>
      <c r="E31" s="121">
        <f t="shared" si="12"/>
        <v>80</v>
      </c>
      <c r="F31" s="121">
        <f t="shared" si="13"/>
        <v>80</v>
      </c>
      <c r="G31" s="121">
        <f t="shared" si="9"/>
        <v>74.999995983629745</v>
      </c>
      <c r="H31" s="122">
        <f t="shared" si="14"/>
        <v>271.52589999999998</v>
      </c>
      <c r="I31" s="122">
        <f t="shared" si="10"/>
        <v>162.91553333333334</v>
      </c>
      <c r="J31" s="122">
        <f t="shared" si="11"/>
        <v>101.82221329725691</v>
      </c>
      <c r="K31" s="123">
        <f t="shared" si="15"/>
        <v>536.26364663059019</v>
      </c>
    </row>
    <row r="32" spans="1:23" x14ac:dyDescent="0.25">
      <c r="A32" s="124" t="s">
        <v>27</v>
      </c>
      <c r="B32" s="125">
        <f t="shared" si="8"/>
        <v>90</v>
      </c>
      <c r="C32" s="125">
        <f t="shared" si="8"/>
        <v>80</v>
      </c>
      <c r="D32" s="125">
        <f t="shared" si="8"/>
        <v>56</v>
      </c>
      <c r="E32" s="126">
        <f t="shared" si="12"/>
        <v>90</v>
      </c>
      <c r="F32" s="126">
        <f t="shared" si="13"/>
        <v>80</v>
      </c>
      <c r="G32" s="126">
        <f t="shared" si="9"/>
        <v>74.999995983629745</v>
      </c>
      <c r="H32" s="127">
        <f t="shared" si="14"/>
        <v>305.46663749999999</v>
      </c>
      <c r="I32" s="127">
        <f t="shared" si="10"/>
        <v>162.91553333333334</v>
      </c>
      <c r="J32" s="127">
        <f t="shared" si="11"/>
        <v>101.82221329725691</v>
      </c>
      <c r="K32" s="128">
        <f t="shared" si="15"/>
        <v>570.20438413059026</v>
      </c>
    </row>
    <row r="33" spans="1:21" x14ac:dyDescent="0.25">
      <c r="A33" s="119" t="s">
        <v>1</v>
      </c>
      <c r="B33" s="120">
        <f t="shared" si="8"/>
        <v>55</v>
      </c>
      <c r="C33" s="120">
        <f t="shared" si="8"/>
        <v>55</v>
      </c>
      <c r="D33" s="120">
        <f t="shared" si="8"/>
        <v>55</v>
      </c>
      <c r="E33" s="121">
        <f t="shared" si="12"/>
        <v>74.999995983629759</v>
      </c>
      <c r="F33" s="121">
        <f t="shared" si="13"/>
        <v>74.999995983629759</v>
      </c>
      <c r="G33" s="121">
        <f t="shared" si="9"/>
        <v>74.999995983629745</v>
      </c>
      <c r="H33" s="122">
        <f t="shared" si="14"/>
        <v>254.5555176181432</v>
      </c>
      <c r="I33" s="122">
        <f t="shared" si="10"/>
        <v>152.73330432088625</v>
      </c>
      <c r="J33" s="122">
        <f t="shared" si="11"/>
        <v>101.82221329725691</v>
      </c>
      <c r="K33" s="123">
        <f t="shared" si="15"/>
        <v>509.11103523628634</v>
      </c>
    </row>
    <row r="34" spans="1:21" s="4" customFormat="1" x14ac:dyDescent="0.25">
      <c r="A34" s="124" t="s">
        <v>2</v>
      </c>
      <c r="B34" s="125">
        <f t="shared" si="8"/>
        <v>31</v>
      </c>
      <c r="C34" s="125">
        <f t="shared" si="8"/>
        <v>30</v>
      </c>
      <c r="D34" s="125">
        <f t="shared" si="8"/>
        <v>58</v>
      </c>
      <c r="E34" s="126">
        <f>+IF(B34&lt;(0.85*B$26),0.85*B$26,IF(B34&gt;(1.05*B$26),B34+2*(B34-1.05*B$26),B34))</f>
        <v>74.999995983629759</v>
      </c>
      <c r="F34" s="126">
        <f t="shared" si="13"/>
        <v>74.999995983629759</v>
      </c>
      <c r="G34" s="126">
        <f t="shared" si="9"/>
        <v>74.999995983629745</v>
      </c>
      <c r="H34" s="127">
        <f t="shared" si="14"/>
        <v>254.5555176181432</v>
      </c>
      <c r="I34" s="127">
        <f t="shared" si="10"/>
        <v>152.73330432088625</v>
      </c>
      <c r="J34" s="127">
        <f t="shared" si="11"/>
        <v>101.82221329725691</v>
      </c>
      <c r="K34" s="128">
        <f t="shared" si="15"/>
        <v>509.11103523628634</v>
      </c>
      <c r="O34"/>
      <c r="P34"/>
      <c r="Q34"/>
      <c r="S34"/>
      <c r="T34"/>
      <c r="U34"/>
    </row>
    <row r="35" spans="1:21" x14ac:dyDescent="0.25">
      <c r="A35" s="119" t="s">
        <v>28</v>
      </c>
      <c r="B35" s="120">
        <f t="shared" si="8"/>
        <v>75</v>
      </c>
      <c r="C35" s="120">
        <f t="shared" si="8"/>
        <v>85</v>
      </c>
      <c r="D35" s="120">
        <f t="shared" si="8"/>
        <v>60</v>
      </c>
      <c r="E35" s="121">
        <f t="shared" si="12"/>
        <v>75</v>
      </c>
      <c r="F35" s="121">
        <f t="shared" si="13"/>
        <v>85</v>
      </c>
      <c r="G35" s="121">
        <f t="shared" si="9"/>
        <v>74.999995983629745</v>
      </c>
      <c r="H35" s="122">
        <f t="shared" si="14"/>
        <v>254.55553124999997</v>
      </c>
      <c r="I35" s="122">
        <f t="shared" si="10"/>
        <v>173.09775416666665</v>
      </c>
      <c r="J35" s="122">
        <f t="shared" si="11"/>
        <v>101.82221329725691</v>
      </c>
      <c r="K35" s="123">
        <f t="shared" si="15"/>
        <v>529.47549871392357</v>
      </c>
    </row>
    <row r="36" spans="1:21" x14ac:dyDescent="0.25">
      <c r="A36" s="124" t="s">
        <v>29</v>
      </c>
      <c r="B36" s="125">
        <f t="shared" si="8"/>
        <v>81</v>
      </c>
      <c r="C36" s="125">
        <f t="shared" si="8"/>
        <v>85</v>
      </c>
      <c r="D36" s="125">
        <f t="shared" si="8"/>
        <v>65</v>
      </c>
      <c r="E36" s="126">
        <f t="shared" si="12"/>
        <v>81</v>
      </c>
      <c r="F36" s="126">
        <f t="shared" si="13"/>
        <v>85</v>
      </c>
      <c r="G36" s="126">
        <f t="shared" si="9"/>
        <v>74.999995983629745</v>
      </c>
      <c r="H36" s="127">
        <f t="shared" si="14"/>
        <v>274.91997375</v>
      </c>
      <c r="I36" s="127">
        <f t="shared" si="10"/>
        <v>173.09775416666665</v>
      </c>
      <c r="J36" s="127">
        <f t="shared" si="11"/>
        <v>101.82221329725691</v>
      </c>
      <c r="K36" s="128">
        <f t="shared" si="15"/>
        <v>549.83994121392357</v>
      </c>
    </row>
    <row r="37" spans="1:21" x14ac:dyDescent="0.25">
      <c r="A37" s="119" t="s">
        <v>30</v>
      </c>
      <c r="B37" s="120">
        <f t="shared" si="8"/>
        <v>78</v>
      </c>
      <c r="C37" s="120">
        <f t="shared" si="8"/>
        <v>85</v>
      </c>
      <c r="D37" s="120">
        <f t="shared" si="8"/>
        <v>85</v>
      </c>
      <c r="E37" s="121">
        <f t="shared" si="12"/>
        <v>78</v>
      </c>
      <c r="F37" s="121">
        <f t="shared" si="13"/>
        <v>85</v>
      </c>
      <c r="G37" s="121">
        <f t="shared" si="9"/>
        <v>85</v>
      </c>
      <c r="H37" s="122">
        <f t="shared" si="14"/>
        <v>264.7377525</v>
      </c>
      <c r="I37" s="122">
        <f t="shared" si="10"/>
        <v>173.09775416666665</v>
      </c>
      <c r="J37" s="122">
        <f t="shared" si="11"/>
        <v>115.39851458333332</v>
      </c>
      <c r="K37" s="123">
        <f t="shared" si="15"/>
        <v>553.23402124999996</v>
      </c>
    </row>
    <row r="38" spans="1:21" x14ac:dyDescent="0.25">
      <c r="A38" s="124" t="s">
        <v>31</v>
      </c>
      <c r="B38" s="125">
        <f t="shared" si="8"/>
        <v>95</v>
      </c>
      <c r="C38" s="125">
        <f t="shared" si="8"/>
        <v>60</v>
      </c>
      <c r="D38" s="125">
        <f t="shared" si="8"/>
        <v>75</v>
      </c>
      <c r="E38" s="126">
        <f t="shared" si="12"/>
        <v>99.705892275738222</v>
      </c>
      <c r="F38" s="126">
        <f t="shared" si="13"/>
        <v>74.999995983629759</v>
      </c>
      <c r="G38" s="126">
        <f t="shared" si="9"/>
        <v>75</v>
      </c>
      <c r="H38" s="127">
        <f t="shared" si="14"/>
        <v>338.40915169341082</v>
      </c>
      <c r="I38" s="127">
        <f t="shared" si="10"/>
        <v>152.73330432088625</v>
      </c>
      <c r="J38" s="127">
        <f t="shared" si="11"/>
        <v>101.82221874999999</v>
      </c>
      <c r="K38" s="128">
        <f t="shared" si="15"/>
        <v>592.96467476429711</v>
      </c>
    </row>
    <row r="39" spans="1:21" x14ac:dyDescent="0.25">
      <c r="A39" s="119" t="s">
        <v>32</v>
      </c>
      <c r="B39" s="120">
        <f t="shared" si="8"/>
        <v>94</v>
      </c>
      <c r="C39" s="120">
        <f t="shared" si="8"/>
        <v>92</v>
      </c>
      <c r="D39" s="120">
        <f t="shared" si="8"/>
        <v>55</v>
      </c>
      <c r="E39" s="121">
        <f t="shared" si="12"/>
        <v>96.705892275738222</v>
      </c>
      <c r="F39" s="121">
        <f t="shared" si="13"/>
        <v>92</v>
      </c>
      <c r="G39" s="121">
        <f t="shared" si="9"/>
        <v>74.999995983629745</v>
      </c>
      <c r="H39" s="122">
        <f t="shared" si="14"/>
        <v>328.22693044341082</v>
      </c>
      <c r="I39" s="122">
        <f t="shared" si="10"/>
        <v>187.35286333333332</v>
      </c>
      <c r="J39" s="122">
        <f t="shared" si="11"/>
        <v>101.82221329725691</v>
      </c>
      <c r="K39" s="123">
        <f t="shared" si="15"/>
        <v>617.40200707400106</v>
      </c>
    </row>
    <row r="40" spans="1:21" x14ac:dyDescent="0.25">
      <c r="A40" s="124" t="s">
        <v>33</v>
      </c>
      <c r="B40" s="125">
        <f t="shared" si="8"/>
        <v>95</v>
      </c>
      <c r="C40" s="125">
        <f t="shared" si="8"/>
        <v>95</v>
      </c>
      <c r="D40" s="125">
        <f t="shared" si="8"/>
        <v>65</v>
      </c>
      <c r="E40" s="126">
        <f t="shared" si="12"/>
        <v>99.705892275738222</v>
      </c>
      <c r="F40" s="126">
        <f t="shared" si="13"/>
        <v>99.705892275738222</v>
      </c>
      <c r="G40" s="126">
        <f t="shared" si="9"/>
        <v>74.999995983629745</v>
      </c>
      <c r="H40" s="127">
        <f t="shared" si="14"/>
        <v>338.40915169341082</v>
      </c>
      <c r="I40" s="127">
        <f t="shared" si="10"/>
        <v>203.04548270722216</v>
      </c>
      <c r="J40" s="127">
        <f t="shared" si="11"/>
        <v>101.82221329725691</v>
      </c>
      <c r="K40" s="128">
        <f t="shared" si="15"/>
        <v>643.27684769788993</v>
      </c>
    </row>
    <row r="41" spans="1:21" ht="21" x14ac:dyDescent="0.35">
      <c r="A41" s="113"/>
      <c r="B41" s="116"/>
      <c r="C41" s="116"/>
      <c r="D41" s="116"/>
      <c r="E41" s="126"/>
      <c r="F41" s="126"/>
      <c r="G41" s="126"/>
      <c r="H41" s="129"/>
      <c r="I41" s="129"/>
      <c r="J41" s="130" t="s">
        <v>24</v>
      </c>
      <c r="K41" s="131">
        <f>SUBTOTAL(109,Taula2[CP '[€/mes']])</f>
        <v>6675.2645944937785</v>
      </c>
    </row>
    <row r="42" spans="1:21" x14ac:dyDescent="0.25">
      <c r="A42" s="113"/>
      <c r="B42" s="113"/>
      <c r="C42" s="113"/>
      <c r="D42" s="113"/>
      <c r="E42" s="113"/>
      <c r="F42" s="113"/>
      <c r="G42" s="113"/>
      <c r="H42" s="113"/>
      <c r="I42" s="113"/>
      <c r="J42" s="113"/>
      <c r="K42" s="113"/>
    </row>
    <row r="43" spans="1:21" x14ac:dyDescent="0.25">
      <c r="A43" s="113"/>
      <c r="B43" s="113"/>
      <c r="C43" s="113"/>
      <c r="D43" s="113"/>
      <c r="E43" s="113"/>
      <c r="F43" s="113"/>
      <c r="G43" s="113"/>
      <c r="H43" s="113"/>
      <c r="I43" s="113"/>
      <c r="J43" s="113"/>
      <c r="K43" s="113"/>
    </row>
    <row r="44" spans="1:21" ht="23.25" x14ac:dyDescent="0.35">
      <c r="A44" s="113"/>
      <c r="B44" s="113"/>
      <c r="C44" s="113"/>
      <c r="D44" s="113"/>
      <c r="E44" s="113"/>
      <c r="F44" s="113"/>
      <c r="G44" s="113"/>
      <c r="H44" s="113"/>
      <c r="I44" s="113"/>
      <c r="J44" s="133" t="s">
        <v>34</v>
      </c>
      <c r="K44" s="134">
        <f>K20-K41</f>
        <v>1959.5985092562196</v>
      </c>
    </row>
    <row r="45" spans="1:21" ht="23.25" x14ac:dyDescent="0.35">
      <c r="A45" s="113"/>
      <c r="B45" s="113"/>
      <c r="C45" s="113"/>
      <c r="D45" s="113"/>
      <c r="E45" s="113"/>
      <c r="F45" s="113"/>
      <c r="G45" s="113"/>
      <c r="H45" s="113"/>
      <c r="I45" s="113"/>
      <c r="J45" s="135"/>
      <c r="K45" s="135"/>
    </row>
    <row r="46" spans="1:21" ht="23.25" x14ac:dyDescent="0.35">
      <c r="A46" s="113"/>
      <c r="B46" s="113"/>
      <c r="C46" s="113"/>
      <c r="D46" s="113"/>
      <c r="E46" s="113"/>
      <c r="F46" s="113"/>
      <c r="G46" s="113"/>
      <c r="H46" s="113"/>
      <c r="I46" s="113"/>
      <c r="J46" s="133" t="s">
        <v>35</v>
      </c>
      <c r="K46" s="134">
        <v>-9.0447600000000001</v>
      </c>
    </row>
    <row r="47" spans="1:21" ht="23.25" x14ac:dyDescent="0.35">
      <c r="A47" s="113"/>
      <c r="B47" s="113"/>
      <c r="C47" s="113"/>
      <c r="D47" s="113"/>
      <c r="E47" s="113"/>
      <c r="F47" s="113"/>
      <c r="G47" s="113"/>
      <c r="H47" s="113"/>
      <c r="I47" s="113"/>
      <c r="J47" s="133" t="s">
        <v>38</v>
      </c>
      <c r="K47" s="99">
        <f>IF(OR((Taula4[PCO1]-Taula3[PC1])&gt;0,(Taula4[PCO2]-Taula3[PC2])&gt;0,(Taula4[PCO3]-Taula3[PC3])&gt;0),-MAX((Taula4[PCO1]-Taula3[PC1]),(Taula4[PCO2]-Taula3[PC2]),(Taula4[PCO3]-Taula3[PC3]))*17.374714,0)</f>
        <v>0</v>
      </c>
      <c r="O47" s="54"/>
      <c r="P47" s="54"/>
      <c r="Q47" s="54"/>
    </row>
    <row r="48" spans="1:21" ht="23.25" x14ac:dyDescent="0.35">
      <c r="A48" s="113"/>
      <c r="B48" s="113"/>
      <c r="C48" s="113"/>
      <c r="D48" s="113"/>
      <c r="E48" s="113"/>
      <c r="F48" s="113"/>
      <c r="G48" s="113"/>
      <c r="H48" s="113"/>
      <c r="I48" s="113"/>
      <c r="J48" s="133" t="s">
        <v>39</v>
      </c>
      <c r="K48" s="99">
        <f>IF(OR((Taula4[PCO1]-Taula3[PC1])&gt;0,(Taula4[PCO2]-Taula3[PC2])&gt;0,(Taula4[PCO3]-Taula3[PC3])&gt;0),-MAX((Taula4[PCO1]-Taula3[PC1]),(Taula4[PCO2]-Taula3[PC2]),(Taula4[PCO3]-Taula3[PC3]))*19.703137,0)</f>
        <v>0</v>
      </c>
    </row>
    <row r="49" spans="1:11" ht="23.25" x14ac:dyDescent="0.35">
      <c r="A49" s="113"/>
      <c r="B49" s="113"/>
      <c r="C49" s="113"/>
      <c r="D49" s="113"/>
      <c r="E49" s="113"/>
      <c r="F49" s="113"/>
      <c r="G49" s="113"/>
      <c r="H49" s="113"/>
      <c r="I49" s="113"/>
      <c r="J49" s="133"/>
      <c r="K49" s="136"/>
    </row>
    <row r="50" spans="1:11" ht="23.25" x14ac:dyDescent="0.35">
      <c r="A50" s="113"/>
      <c r="B50" s="113"/>
      <c r="C50" s="113"/>
      <c r="D50" s="113"/>
      <c r="E50" s="113"/>
      <c r="F50" s="113"/>
      <c r="G50" s="113"/>
      <c r="H50" s="113"/>
      <c r="I50" s="113"/>
      <c r="J50" s="133" t="s">
        <v>36</v>
      </c>
      <c r="K50" s="137" t="s">
        <v>37</v>
      </c>
    </row>
    <row r="51" spans="1:11" x14ac:dyDescent="0.25">
      <c r="A51" s="4"/>
      <c r="B51" s="4"/>
      <c r="C51" s="4"/>
      <c r="D51" s="4"/>
      <c r="E51" s="4"/>
      <c r="F51" s="4"/>
      <c r="G51" s="4"/>
      <c r="H51" s="4"/>
      <c r="I51" s="4"/>
      <c r="J51" s="4"/>
      <c r="K51" s="4"/>
    </row>
    <row r="52" spans="1:11" ht="21" x14ac:dyDescent="0.25">
      <c r="A52" s="4"/>
      <c r="B52" s="4"/>
      <c r="C52" s="4"/>
      <c r="D52" s="4"/>
      <c r="E52" s="4"/>
      <c r="F52" s="4"/>
      <c r="G52" s="4"/>
      <c r="H52" s="4"/>
      <c r="I52" s="4"/>
      <c r="J52" s="13"/>
      <c r="K52" s="12"/>
    </row>
  </sheetData>
  <conditionalFormatting sqref="K8:K19 K29:K40">
    <cfRule type="colorScale" priority="19">
      <colorScale>
        <cfvo type="min"/>
        <cfvo type="percentile" val="50"/>
        <cfvo type="max"/>
        <color rgb="FF63BE7B"/>
        <color rgb="FFFFEB84"/>
        <color rgb="FFF8696B"/>
      </colorScale>
    </cfRule>
  </conditionalFormatting>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3"/>
  <dimension ref="A1:W52"/>
  <sheetViews>
    <sheetView zoomScale="110" zoomScaleNormal="110" workbookViewId="0">
      <selection activeCell="H34" sqref="H34"/>
    </sheetView>
  </sheetViews>
  <sheetFormatPr defaultRowHeight="15" x14ac:dyDescent="0.25"/>
  <cols>
    <col min="1" max="1" width="12.85546875" customWidth="1"/>
    <col min="2" max="10" width="13.85546875" customWidth="1"/>
    <col min="11" max="11" width="17.5703125" customWidth="1"/>
    <col min="15" max="19" width="10" customWidth="1"/>
    <col min="20" max="20" width="11.5703125" bestFit="1" customWidth="1"/>
    <col min="22" max="22" width="9.5703125" bestFit="1" customWidth="1"/>
  </cols>
  <sheetData>
    <row r="1" spans="1:23" x14ac:dyDescent="0.25">
      <c r="A1" s="4"/>
      <c r="B1" s="4"/>
      <c r="C1" s="4"/>
      <c r="D1" s="4"/>
      <c r="E1" s="4"/>
      <c r="F1" s="4"/>
      <c r="G1" s="4"/>
      <c r="H1" s="4"/>
      <c r="I1" s="4"/>
      <c r="J1" s="4"/>
      <c r="K1" s="4"/>
    </row>
    <row r="2" spans="1:23" ht="23.25" x14ac:dyDescent="0.35">
      <c r="A2" s="17" t="s">
        <v>80</v>
      </c>
      <c r="B2" s="4"/>
      <c r="C2" s="4"/>
      <c r="D2" s="4"/>
      <c r="E2" s="4"/>
      <c r="F2" s="4"/>
      <c r="G2" s="4"/>
      <c r="H2" s="4"/>
      <c r="I2" s="4"/>
      <c r="J2" s="4"/>
      <c r="K2" s="4"/>
    </row>
    <row r="3" spans="1:23" x14ac:dyDescent="0.25">
      <c r="A3" s="4"/>
      <c r="B3" s="4"/>
      <c r="C3" s="4"/>
      <c r="D3" s="4"/>
      <c r="E3" s="4"/>
      <c r="F3" s="4"/>
      <c r="G3" s="4"/>
      <c r="H3" s="4"/>
      <c r="I3" s="4"/>
      <c r="J3" s="4"/>
      <c r="K3" s="4"/>
    </row>
    <row r="4" spans="1:23" x14ac:dyDescent="0.25">
      <c r="A4" s="4"/>
      <c r="B4" s="1" t="s">
        <v>3</v>
      </c>
      <c r="C4" s="1" t="s">
        <v>4</v>
      </c>
      <c r="D4" s="1" t="s">
        <v>5</v>
      </c>
      <c r="E4" s="4"/>
      <c r="F4" s="4"/>
      <c r="G4" s="4"/>
      <c r="H4" s="1" t="s">
        <v>10</v>
      </c>
      <c r="I4" s="1" t="s">
        <v>11</v>
      </c>
      <c r="J4" s="1" t="s">
        <v>12</v>
      </c>
      <c r="K4" s="4"/>
      <c r="W4">
        <v>0</v>
      </c>
    </row>
    <row r="5" spans="1:23" ht="21" x14ac:dyDescent="0.35">
      <c r="A5" s="4"/>
      <c r="B5" s="22">
        <f>+'Entrada de dades'!C11</f>
        <v>100</v>
      </c>
      <c r="C5" s="22">
        <f>+'Entrada de dades'!D11</f>
        <v>110</v>
      </c>
      <c r="D5" s="22">
        <f>+'Entrada de dades'!E11</f>
        <v>200</v>
      </c>
      <c r="E5" s="4"/>
      <c r="F5" s="4"/>
      <c r="G5" s="4"/>
      <c r="H5" s="1">
        <f>'Entrada de dades'!D2</f>
        <v>40.728884999999998</v>
      </c>
      <c r="I5" s="1">
        <f>'Entrada de dades'!E2</f>
        <v>24.437329999999999</v>
      </c>
      <c r="J5" s="1">
        <f>'Entrada de dades'!F2</f>
        <v>16.291554999999999</v>
      </c>
      <c r="K5" s="4"/>
      <c r="O5" s="29"/>
      <c r="P5" s="29"/>
      <c r="Q5" s="29"/>
      <c r="R5" s="29"/>
      <c r="S5" s="29"/>
      <c r="T5" s="29"/>
    </row>
    <row r="6" spans="1:23" x14ac:dyDescent="0.25">
      <c r="A6" s="4"/>
      <c r="B6" s="5"/>
      <c r="C6" s="5"/>
      <c r="D6" s="5"/>
      <c r="E6" s="4"/>
      <c r="F6" s="4"/>
      <c r="G6" s="4"/>
      <c r="H6" s="4"/>
      <c r="I6" s="4"/>
      <c r="J6" s="4"/>
      <c r="K6" s="4"/>
      <c r="V6" s="29"/>
    </row>
    <row r="7" spans="1:23" x14ac:dyDescent="0.25">
      <c r="A7" s="8" t="s">
        <v>9</v>
      </c>
      <c r="B7" s="9" t="s">
        <v>22</v>
      </c>
      <c r="C7" s="9" t="s">
        <v>21</v>
      </c>
      <c r="D7" s="9" t="s">
        <v>20</v>
      </c>
      <c r="E7" s="9" t="s">
        <v>19</v>
      </c>
      <c r="F7" s="9" t="s">
        <v>18</v>
      </c>
      <c r="G7" s="9" t="s">
        <v>17</v>
      </c>
      <c r="H7" s="9" t="s">
        <v>13</v>
      </c>
      <c r="I7" s="9" t="s">
        <v>14</v>
      </c>
      <c r="J7" s="9" t="s">
        <v>15</v>
      </c>
      <c r="K7" s="9" t="s">
        <v>16</v>
      </c>
    </row>
    <row r="8" spans="1:23" x14ac:dyDescent="0.25">
      <c r="A8" s="15" t="s">
        <v>25</v>
      </c>
      <c r="B8" s="14">
        <f>+'Entrada de dades'!C16</f>
        <v>82</v>
      </c>
      <c r="C8" s="14">
        <f>+'Entrada de dades'!D16</f>
        <v>81</v>
      </c>
      <c r="D8" s="14">
        <f>+'Entrada de dades'!E16</f>
        <v>72</v>
      </c>
      <c r="E8" s="3">
        <f>+IF(B8&lt;(0.85*B$5),0.85*B$5,IF(B8&gt;(1.05*B$5),B8+2*(B8-1.05*B$5),B8))</f>
        <v>85</v>
      </c>
      <c r="F8" s="3">
        <f t="shared" ref="F8:G19" si="0">+IF(C8&lt;(0.85*C$5),0.85*C$5,IF(C8&gt;(1.05*C$5),C8+2*(C8-1.05*C$5),C8))</f>
        <v>93.5</v>
      </c>
      <c r="G8" s="3">
        <f>+IF(D8&lt;(0.85*D$5),0.85*D$5,IF(D8&gt;(1.05*D$5),D8+2*(D8-1.05*D$5),D8))</f>
        <v>170</v>
      </c>
      <c r="H8" s="2">
        <f>+H$5*E8/12</f>
        <v>288.49626874999996</v>
      </c>
      <c r="I8" s="2">
        <f t="shared" ref="I8:J19" si="1">+I$5*F8/12</f>
        <v>190.40752958333334</v>
      </c>
      <c r="J8" s="2">
        <f t="shared" si="1"/>
        <v>230.79702916666665</v>
      </c>
      <c r="K8" s="18">
        <f>SUM(H8:J8)</f>
        <v>709.70082749999995</v>
      </c>
    </row>
    <row r="9" spans="1:23" x14ac:dyDescent="0.25">
      <c r="A9" s="16" t="s">
        <v>26</v>
      </c>
      <c r="B9" s="10">
        <f>+'Entrada de dades'!C17</f>
        <v>20</v>
      </c>
      <c r="C9" s="10">
        <f>+'Entrada de dades'!D17</f>
        <v>80</v>
      </c>
      <c r="D9" s="10">
        <f>+'Entrada de dades'!E17</f>
        <v>70</v>
      </c>
      <c r="E9" s="7">
        <f t="shared" ref="E9:E19" si="2">+IF(B9&lt;(0.85*B$5),0.85*B$5,IF(B9&gt;(1.05*B$5),B9+2*(B9-1.05*B$5),B9))</f>
        <v>85</v>
      </c>
      <c r="F9" s="7">
        <f t="shared" si="0"/>
        <v>93.5</v>
      </c>
      <c r="G9" s="7">
        <f t="shared" si="0"/>
        <v>170</v>
      </c>
      <c r="H9" s="6">
        <f t="shared" ref="H9:H19" si="3">+H$5*E9/12</f>
        <v>288.49626874999996</v>
      </c>
      <c r="I9" s="6">
        <f t="shared" si="1"/>
        <v>190.40752958333334</v>
      </c>
      <c r="J9" s="6">
        <f t="shared" si="1"/>
        <v>230.79702916666665</v>
      </c>
      <c r="K9" s="19">
        <f t="shared" ref="K9:K18" si="4">SUM(H9:J9)</f>
        <v>709.70082749999995</v>
      </c>
    </row>
    <row r="10" spans="1:23" x14ac:dyDescent="0.25">
      <c r="A10" s="15" t="s">
        <v>0</v>
      </c>
      <c r="B10" s="14">
        <f>+'Entrada de dades'!C18</f>
        <v>80</v>
      </c>
      <c r="C10" s="14">
        <f>+'Entrada de dades'!D18</f>
        <v>80</v>
      </c>
      <c r="D10" s="14">
        <f>+'Entrada de dades'!E18</f>
        <v>56</v>
      </c>
      <c r="E10" s="3">
        <f t="shared" si="2"/>
        <v>85</v>
      </c>
      <c r="F10" s="3">
        <f t="shared" si="0"/>
        <v>93.5</v>
      </c>
      <c r="G10" s="3">
        <f t="shared" si="0"/>
        <v>170</v>
      </c>
      <c r="H10" s="2">
        <f t="shared" si="3"/>
        <v>288.49626874999996</v>
      </c>
      <c r="I10" s="2">
        <f t="shared" si="1"/>
        <v>190.40752958333334</v>
      </c>
      <c r="J10" s="2">
        <f t="shared" si="1"/>
        <v>230.79702916666665</v>
      </c>
      <c r="K10" s="18">
        <f t="shared" si="4"/>
        <v>709.70082749999995</v>
      </c>
    </row>
    <row r="11" spans="1:23" x14ac:dyDescent="0.25">
      <c r="A11" s="16" t="s">
        <v>27</v>
      </c>
      <c r="B11" s="10">
        <f>+'Entrada de dades'!C19</f>
        <v>90</v>
      </c>
      <c r="C11" s="10">
        <f>+'Entrada de dades'!D19</f>
        <v>80</v>
      </c>
      <c r="D11" s="10">
        <f>+'Entrada de dades'!E19</f>
        <v>56</v>
      </c>
      <c r="E11" s="7">
        <f t="shared" si="2"/>
        <v>90</v>
      </c>
      <c r="F11" s="7">
        <f t="shared" si="0"/>
        <v>93.5</v>
      </c>
      <c r="G11" s="7">
        <f t="shared" si="0"/>
        <v>170</v>
      </c>
      <c r="H11" s="6">
        <f t="shared" si="3"/>
        <v>305.46663749999999</v>
      </c>
      <c r="I11" s="6">
        <f t="shared" si="1"/>
        <v>190.40752958333334</v>
      </c>
      <c r="J11" s="6">
        <f t="shared" si="1"/>
        <v>230.79702916666665</v>
      </c>
      <c r="K11" s="19">
        <f t="shared" si="4"/>
        <v>726.67119624999998</v>
      </c>
    </row>
    <row r="12" spans="1:23" x14ac:dyDescent="0.25">
      <c r="A12" s="15" t="s">
        <v>1</v>
      </c>
      <c r="B12" s="14">
        <f>+'Entrada de dades'!C20</f>
        <v>55</v>
      </c>
      <c r="C12" s="14">
        <f>+'Entrada de dades'!D20</f>
        <v>55</v>
      </c>
      <c r="D12" s="14">
        <f>+'Entrada de dades'!E20</f>
        <v>55</v>
      </c>
      <c r="E12" s="3">
        <f t="shared" si="2"/>
        <v>85</v>
      </c>
      <c r="F12" s="3">
        <f t="shared" si="0"/>
        <v>93.5</v>
      </c>
      <c r="G12" s="3">
        <f t="shared" si="0"/>
        <v>170</v>
      </c>
      <c r="H12" s="2">
        <f t="shared" si="3"/>
        <v>288.49626874999996</v>
      </c>
      <c r="I12" s="2">
        <f t="shared" si="1"/>
        <v>190.40752958333334</v>
      </c>
      <c r="J12" s="2">
        <f t="shared" si="1"/>
        <v>230.79702916666665</v>
      </c>
      <c r="K12" s="18">
        <f t="shared" si="4"/>
        <v>709.70082749999995</v>
      </c>
    </row>
    <row r="13" spans="1:23" x14ac:dyDescent="0.25">
      <c r="A13" s="16" t="s">
        <v>2</v>
      </c>
      <c r="B13" s="10">
        <f>+'Entrada de dades'!C21</f>
        <v>31</v>
      </c>
      <c r="C13" s="10">
        <f>+'Entrada de dades'!D21</f>
        <v>30</v>
      </c>
      <c r="D13" s="10">
        <f>+'Entrada de dades'!E21</f>
        <v>58</v>
      </c>
      <c r="E13" s="7">
        <f t="shared" si="2"/>
        <v>85</v>
      </c>
      <c r="F13" s="7">
        <f t="shared" si="0"/>
        <v>93.5</v>
      </c>
      <c r="G13" s="7">
        <f t="shared" si="0"/>
        <v>170</v>
      </c>
      <c r="H13" s="6">
        <f t="shared" si="3"/>
        <v>288.49626874999996</v>
      </c>
      <c r="I13" s="6">
        <f t="shared" si="1"/>
        <v>190.40752958333334</v>
      </c>
      <c r="J13" s="6">
        <f t="shared" si="1"/>
        <v>230.79702916666665</v>
      </c>
      <c r="K13" s="19">
        <f t="shared" si="4"/>
        <v>709.70082749999995</v>
      </c>
    </row>
    <row r="14" spans="1:23" x14ac:dyDescent="0.25">
      <c r="A14" s="15" t="s">
        <v>28</v>
      </c>
      <c r="B14" s="14">
        <f>+'Entrada de dades'!C22</f>
        <v>75</v>
      </c>
      <c r="C14" s="14">
        <f>+'Entrada de dades'!D22</f>
        <v>85</v>
      </c>
      <c r="D14" s="14">
        <f>+'Entrada de dades'!E22</f>
        <v>60</v>
      </c>
      <c r="E14" s="3">
        <f t="shared" si="2"/>
        <v>85</v>
      </c>
      <c r="F14" s="3">
        <f t="shared" si="0"/>
        <v>93.5</v>
      </c>
      <c r="G14" s="3">
        <f t="shared" si="0"/>
        <v>170</v>
      </c>
      <c r="H14" s="2">
        <f t="shared" si="3"/>
        <v>288.49626874999996</v>
      </c>
      <c r="I14" s="2">
        <f t="shared" si="1"/>
        <v>190.40752958333334</v>
      </c>
      <c r="J14" s="2">
        <f t="shared" si="1"/>
        <v>230.79702916666665</v>
      </c>
      <c r="K14" s="18">
        <f t="shared" si="4"/>
        <v>709.70082749999995</v>
      </c>
    </row>
    <row r="15" spans="1:23" x14ac:dyDescent="0.25">
      <c r="A15" s="16" t="s">
        <v>29</v>
      </c>
      <c r="B15" s="10">
        <f>+'Entrada de dades'!C23</f>
        <v>81</v>
      </c>
      <c r="C15" s="10">
        <f>+'Entrada de dades'!D23</f>
        <v>85</v>
      </c>
      <c r="D15" s="10">
        <f>+'Entrada de dades'!E23</f>
        <v>65</v>
      </c>
      <c r="E15" s="7">
        <f t="shared" si="2"/>
        <v>85</v>
      </c>
      <c r="F15" s="7">
        <f t="shared" si="0"/>
        <v>93.5</v>
      </c>
      <c r="G15" s="7">
        <f t="shared" si="0"/>
        <v>170</v>
      </c>
      <c r="H15" s="6">
        <f t="shared" si="3"/>
        <v>288.49626874999996</v>
      </c>
      <c r="I15" s="6">
        <f t="shared" si="1"/>
        <v>190.40752958333334</v>
      </c>
      <c r="J15" s="6">
        <f t="shared" si="1"/>
        <v>230.79702916666665</v>
      </c>
      <c r="K15" s="19">
        <f t="shared" si="4"/>
        <v>709.70082749999995</v>
      </c>
    </row>
    <row r="16" spans="1:23" x14ac:dyDescent="0.25">
      <c r="A16" s="15" t="s">
        <v>30</v>
      </c>
      <c r="B16" s="14">
        <f>+'Entrada de dades'!C24</f>
        <v>78</v>
      </c>
      <c r="C16" s="14">
        <f>+'Entrada de dades'!D24</f>
        <v>85</v>
      </c>
      <c r="D16" s="14">
        <f>+'Entrada de dades'!E24</f>
        <v>85</v>
      </c>
      <c r="E16" s="3">
        <f t="shared" si="2"/>
        <v>85</v>
      </c>
      <c r="F16" s="3">
        <f t="shared" si="0"/>
        <v>93.5</v>
      </c>
      <c r="G16" s="3">
        <f t="shared" si="0"/>
        <v>170</v>
      </c>
      <c r="H16" s="2">
        <f t="shared" si="3"/>
        <v>288.49626874999996</v>
      </c>
      <c r="I16" s="2">
        <f t="shared" si="1"/>
        <v>190.40752958333334</v>
      </c>
      <c r="J16" s="2">
        <f t="shared" si="1"/>
        <v>230.79702916666665</v>
      </c>
      <c r="K16" s="18">
        <f t="shared" si="4"/>
        <v>709.70082749999995</v>
      </c>
    </row>
    <row r="17" spans="1:23" x14ac:dyDescent="0.25">
      <c r="A17" s="16" t="s">
        <v>31</v>
      </c>
      <c r="B17" s="10">
        <f>+'Entrada de dades'!C25</f>
        <v>95</v>
      </c>
      <c r="C17" s="10">
        <f>+'Entrada de dades'!D25</f>
        <v>60</v>
      </c>
      <c r="D17" s="10">
        <f>+'Entrada de dades'!E25</f>
        <v>75</v>
      </c>
      <c r="E17" s="7">
        <f t="shared" si="2"/>
        <v>95</v>
      </c>
      <c r="F17" s="7">
        <f t="shared" si="0"/>
        <v>93.5</v>
      </c>
      <c r="G17" s="7">
        <f t="shared" si="0"/>
        <v>170</v>
      </c>
      <c r="H17" s="6">
        <f t="shared" si="3"/>
        <v>322.43700624999997</v>
      </c>
      <c r="I17" s="6">
        <f t="shared" si="1"/>
        <v>190.40752958333334</v>
      </c>
      <c r="J17" s="6">
        <f t="shared" si="1"/>
        <v>230.79702916666665</v>
      </c>
      <c r="K17" s="19">
        <f t="shared" si="4"/>
        <v>743.64156500000001</v>
      </c>
    </row>
    <row r="18" spans="1:23" x14ac:dyDescent="0.25">
      <c r="A18" s="15" t="s">
        <v>32</v>
      </c>
      <c r="B18" s="14">
        <f>+'Entrada de dades'!C26</f>
        <v>94</v>
      </c>
      <c r="C18" s="14">
        <f>+'Entrada de dades'!D26</f>
        <v>92</v>
      </c>
      <c r="D18" s="14">
        <f>+'Entrada de dades'!E26</f>
        <v>55</v>
      </c>
      <c r="E18" s="3">
        <f t="shared" si="2"/>
        <v>94</v>
      </c>
      <c r="F18" s="3">
        <f t="shared" si="0"/>
        <v>93.5</v>
      </c>
      <c r="G18" s="3">
        <f t="shared" si="0"/>
        <v>170</v>
      </c>
      <c r="H18" s="2">
        <f t="shared" si="3"/>
        <v>319.04293249999995</v>
      </c>
      <c r="I18" s="2">
        <f t="shared" si="1"/>
        <v>190.40752958333334</v>
      </c>
      <c r="J18" s="2">
        <f t="shared" si="1"/>
        <v>230.79702916666665</v>
      </c>
      <c r="K18" s="18">
        <f t="shared" si="4"/>
        <v>740.24749124999994</v>
      </c>
    </row>
    <row r="19" spans="1:23" x14ac:dyDescent="0.25">
      <c r="A19" s="16" t="s">
        <v>33</v>
      </c>
      <c r="B19" s="10">
        <f>+'Entrada de dades'!C27</f>
        <v>95</v>
      </c>
      <c r="C19" s="10">
        <f>+'Entrada de dades'!D27</f>
        <v>95</v>
      </c>
      <c r="D19" s="10">
        <f>+'Entrada de dades'!E27</f>
        <v>65</v>
      </c>
      <c r="E19" s="7">
        <f t="shared" si="2"/>
        <v>95</v>
      </c>
      <c r="F19" s="7">
        <f t="shared" si="0"/>
        <v>95</v>
      </c>
      <c r="G19" s="7">
        <f t="shared" si="0"/>
        <v>170</v>
      </c>
      <c r="H19" s="6">
        <f t="shared" si="3"/>
        <v>322.43700624999997</v>
      </c>
      <c r="I19" s="6">
        <f t="shared" si="1"/>
        <v>193.46219583333334</v>
      </c>
      <c r="J19" s="6">
        <f t="shared" si="1"/>
        <v>230.79702916666665</v>
      </c>
      <c r="K19" s="19">
        <f>SUM(H19:J19)</f>
        <v>746.69623124999998</v>
      </c>
    </row>
    <row r="20" spans="1:23" ht="21" x14ac:dyDescent="0.35">
      <c r="A20" s="4"/>
      <c r="B20" s="5"/>
      <c r="C20" s="5"/>
      <c r="D20" s="5"/>
      <c r="E20" s="5"/>
      <c r="F20" s="5"/>
      <c r="G20" s="5"/>
      <c r="H20" s="11"/>
      <c r="I20" s="11"/>
      <c r="J20" s="20" t="s">
        <v>23</v>
      </c>
      <c r="K20" s="21">
        <f>SUBTOTAL(109,Taula115[CP '[€/mes']])</f>
        <v>8634.8631037499981</v>
      </c>
    </row>
    <row r="21" spans="1:23" x14ac:dyDescent="0.25">
      <c r="A21" s="4"/>
      <c r="B21" s="4"/>
      <c r="C21" s="4"/>
      <c r="D21" s="4"/>
      <c r="E21" s="4"/>
      <c r="F21" s="4"/>
      <c r="G21" s="4"/>
      <c r="H21" s="4"/>
      <c r="I21" s="4"/>
      <c r="J21" s="4"/>
      <c r="K21" s="4"/>
    </row>
    <row r="22" spans="1:23" x14ac:dyDescent="0.25">
      <c r="A22" s="4"/>
      <c r="B22" s="4"/>
      <c r="C22" s="4"/>
      <c r="D22" s="4"/>
      <c r="E22" s="4"/>
      <c r="F22" s="4"/>
      <c r="G22" s="4"/>
      <c r="H22" s="4"/>
      <c r="I22" s="4"/>
      <c r="J22" s="4"/>
      <c r="K22" s="4"/>
    </row>
    <row r="23" spans="1:23" ht="23.25" x14ac:dyDescent="0.35">
      <c r="A23" s="17" t="s">
        <v>81</v>
      </c>
      <c r="B23" s="4"/>
      <c r="C23" s="4"/>
      <c r="D23" s="4"/>
      <c r="E23" s="4"/>
      <c r="F23" s="4"/>
      <c r="G23" s="4"/>
      <c r="H23" s="4"/>
      <c r="I23" s="4"/>
      <c r="J23" s="4"/>
      <c r="K23" s="4"/>
    </row>
    <row r="24" spans="1:23" x14ac:dyDescent="0.25">
      <c r="A24" s="4"/>
      <c r="B24" s="4"/>
      <c r="C24" s="4"/>
      <c r="D24" s="4"/>
      <c r="E24" s="4"/>
      <c r="F24" s="4"/>
      <c r="G24" s="4"/>
      <c r="H24" s="4"/>
      <c r="I24" s="4"/>
      <c r="J24" s="4"/>
      <c r="K24" s="4"/>
    </row>
    <row r="25" spans="1:23" x14ac:dyDescent="0.25">
      <c r="A25" s="4"/>
      <c r="B25" s="1" t="s">
        <v>6</v>
      </c>
      <c r="C25" s="1" t="s">
        <v>7</v>
      </c>
      <c r="D25" s="1" t="s">
        <v>8</v>
      </c>
      <c r="E25" s="4"/>
      <c r="F25" s="4"/>
      <c r="G25" s="4"/>
      <c r="H25" s="1" t="s">
        <v>10</v>
      </c>
      <c r="I25" s="1" t="s">
        <v>11</v>
      </c>
      <c r="J25" s="1" t="s">
        <v>12</v>
      </c>
      <c r="K25" s="4"/>
    </row>
    <row r="26" spans="1:23" ht="21" x14ac:dyDescent="0.35">
      <c r="A26" s="4"/>
      <c r="B26" s="23">
        <v>90.47618162022691</v>
      </c>
      <c r="C26" s="23">
        <v>87.619060931918071</v>
      </c>
      <c r="D26" s="23">
        <v>69.038789525577485</v>
      </c>
      <c r="E26" s="4"/>
      <c r="F26" s="4"/>
      <c r="G26" s="4"/>
      <c r="H26" s="1">
        <f>+H5</f>
        <v>40.728884999999998</v>
      </c>
      <c r="I26" s="1">
        <f t="shared" ref="I26:J26" si="5">+I5</f>
        <v>24.437329999999999</v>
      </c>
      <c r="J26" s="1">
        <f t="shared" si="5"/>
        <v>16.291554999999999</v>
      </c>
      <c r="K26" s="4"/>
    </row>
    <row r="27" spans="1:23" x14ac:dyDescent="0.25">
      <c r="A27" s="4"/>
      <c r="B27" s="5"/>
      <c r="C27" s="5"/>
      <c r="D27" s="5"/>
      <c r="E27" s="4"/>
      <c r="F27" s="4"/>
      <c r="G27" s="4"/>
      <c r="H27" s="4"/>
      <c r="I27" s="4"/>
      <c r="J27" s="4"/>
      <c r="K27" s="4"/>
    </row>
    <row r="28" spans="1:23" x14ac:dyDescent="0.25">
      <c r="A28" s="8" t="s">
        <v>9</v>
      </c>
      <c r="B28" s="9" t="s">
        <v>22</v>
      </c>
      <c r="C28" s="9" t="s">
        <v>21</v>
      </c>
      <c r="D28" s="9" t="s">
        <v>20</v>
      </c>
      <c r="E28" s="9" t="s">
        <v>19</v>
      </c>
      <c r="F28" s="9" t="s">
        <v>18</v>
      </c>
      <c r="G28" s="9" t="s">
        <v>17</v>
      </c>
      <c r="H28" s="9" t="s">
        <v>13</v>
      </c>
      <c r="I28" s="9" t="s">
        <v>14</v>
      </c>
      <c r="J28" s="9" t="s">
        <v>15</v>
      </c>
      <c r="K28" s="9" t="s">
        <v>16</v>
      </c>
    </row>
    <row r="29" spans="1:23" x14ac:dyDescent="0.25">
      <c r="A29" s="15" t="s">
        <v>25</v>
      </c>
      <c r="B29" s="14">
        <f t="shared" ref="B29:D40" si="6">+B8</f>
        <v>82</v>
      </c>
      <c r="C29" s="14">
        <f t="shared" si="6"/>
        <v>81</v>
      </c>
      <c r="D29" s="14">
        <f t="shared" si="6"/>
        <v>72</v>
      </c>
      <c r="E29" s="3">
        <f>+IF(B29&lt;(0.85*B$26),0.85*B$26,IF(B29&gt;(1.05*B$26),B29+2*(B29-1.05*B$26),B29))</f>
        <v>82</v>
      </c>
      <c r="F29" s="3">
        <f t="shared" ref="F29:G40" si="7">+IF(C29&lt;(0.85*C$26),0.85*C$26,IF(C29&gt;(1.05*C$26),C29+2*(C29-1.05*C$26),C29))</f>
        <v>81</v>
      </c>
      <c r="G29" s="3">
        <f t="shared" si="7"/>
        <v>72</v>
      </c>
      <c r="H29" s="2">
        <f>+H$26*E29/12</f>
        <v>278.31404749999996</v>
      </c>
      <c r="I29" s="2">
        <f t="shared" ref="I29:J40" si="8">+I$26*F29/12</f>
        <v>164.9519775</v>
      </c>
      <c r="J29" s="2">
        <f t="shared" si="8"/>
        <v>97.749329999999986</v>
      </c>
      <c r="K29" s="18">
        <f>SUM(H29:J29)</f>
        <v>541.015355</v>
      </c>
      <c r="W29" s="30"/>
    </row>
    <row r="30" spans="1:23" x14ac:dyDescent="0.25">
      <c r="A30" s="16" t="s">
        <v>26</v>
      </c>
      <c r="B30" s="10">
        <f t="shared" si="6"/>
        <v>20</v>
      </c>
      <c r="C30" s="10">
        <f t="shared" si="6"/>
        <v>80</v>
      </c>
      <c r="D30" s="10">
        <f t="shared" si="6"/>
        <v>70</v>
      </c>
      <c r="E30" s="7">
        <f t="shared" ref="E30:E40" si="9">+IF(B30&lt;(0.85*B$26),0.85*B$26,IF(B30&gt;(1.05*B$26),B30+2*(B30-1.05*B$26),B30))</f>
        <v>76.904754377192873</v>
      </c>
      <c r="F30" s="7">
        <f t="shared" si="7"/>
        <v>80</v>
      </c>
      <c r="G30" s="7">
        <f t="shared" si="7"/>
        <v>70</v>
      </c>
      <c r="H30" s="6">
        <f t="shared" ref="H30:H40" si="10">+H$26*E30/12</f>
        <v>261.02040808182795</v>
      </c>
      <c r="I30" s="6">
        <f t="shared" si="8"/>
        <v>162.91553333333334</v>
      </c>
      <c r="J30" s="6">
        <f t="shared" si="8"/>
        <v>95.034070833333331</v>
      </c>
      <c r="K30" s="19">
        <f t="shared" ref="K30:K40" si="11">SUM(H30:J30)</f>
        <v>518.97001224849464</v>
      </c>
    </row>
    <row r="31" spans="1:23" x14ac:dyDescent="0.25">
      <c r="A31" s="15" t="s">
        <v>0</v>
      </c>
      <c r="B31" s="14">
        <f t="shared" si="6"/>
        <v>80</v>
      </c>
      <c r="C31" s="14">
        <f t="shared" si="6"/>
        <v>80</v>
      </c>
      <c r="D31" s="14">
        <f t="shared" si="6"/>
        <v>56</v>
      </c>
      <c r="E31" s="3">
        <f t="shared" si="9"/>
        <v>80</v>
      </c>
      <c r="F31" s="3">
        <f t="shared" si="7"/>
        <v>80</v>
      </c>
      <c r="G31" s="3">
        <f t="shared" si="7"/>
        <v>58.682971096740857</v>
      </c>
      <c r="H31" s="2">
        <f t="shared" si="10"/>
        <v>271.52589999999998</v>
      </c>
      <c r="I31" s="2">
        <f t="shared" si="8"/>
        <v>162.91553333333334</v>
      </c>
      <c r="J31" s="2">
        <f t="shared" si="8"/>
        <v>79.669737598830324</v>
      </c>
      <c r="K31" s="18">
        <f t="shared" si="11"/>
        <v>514.11117093216365</v>
      </c>
    </row>
    <row r="32" spans="1:23" x14ac:dyDescent="0.25">
      <c r="A32" s="16" t="s">
        <v>27</v>
      </c>
      <c r="B32" s="10">
        <f t="shared" si="6"/>
        <v>90</v>
      </c>
      <c r="C32" s="10">
        <f t="shared" si="6"/>
        <v>80</v>
      </c>
      <c r="D32" s="10">
        <f t="shared" si="6"/>
        <v>56</v>
      </c>
      <c r="E32" s="7">
        <f t="shared" si="9"/>
        <v>90</v>
      </c>
      <c r="F32" s="7">
        <f t="shared" si="7"/>
        <v>80</v>
      </c>
      <c r="G32" s="7">
        <f t="shared" si="7"/>
        <v>58.682971096740857</v>
      </c>
      <c r="H32" s="6">
        <f t="shared" si="10"/>
        <v>305.46663749999999</v>
      </c>
      <c r="I32" s="6">
        <f t="shared" si="8"/>
        <v>162.91553333333334</v>
      </c>
      <c r="J32" s="6">
        <f t="shared" si="8"/>
        <v>79.669737598830324</v>
      </c>
      <c r="K32" s="19">
        <f t="shared" si="11"/>
        <v>548.05190843216371</v>
      </c>
    </row>
    <row r="33" spans="1:21" x14ac:dyDescent="0.25">
      <c r="A33" s="15" t="s">
        <v>1</v>
      </c>
      <c r="B33" s="14">
        <f t="shared" si="6"/>
        <v>55</v>
      </c>
      <c r="C33" s="14">
        <f t="shared" si="6"/>
        <v>55</v>
      </c>
      <c r="D33" s="14">
        <f t="shared" si="6"/>
        <v>55</v>
      </c>
      <c r="E33" s="3">
        <f t="shared" si="9"/>
        <v>76.904754377192873</v>
      </c>
      <c r="F33" s="3">
        <f t="shared" si="7"/>
        <v>74.476201792130354</v>
      </c>
      <c r="G33" s="3">
        <f t="shared" si="7"/>
        <v>58.682971096740857</v>
      </c>
      <c r="H33" s="2">
        <f t="shared" si="10"/>
        <v>261.02040808182795</v>
      </c>
      <c r="I33" s="2">
        <f t="shared" si="8"/>
        <v>151.6666266950734</v>
      </c>
      <c r="J33" s="2">
        <f t="shared" si="8"/>
        <v>79.669737598830324</v>
      </c>
      <c r="K33" s="18">
        <f t="shared" si="11"/>
        <v>492.35677237573168</v>
      </c>
    </row>
    <row r="34" spans="1:21" s="4" customFormat="1" x14ac:dyDescent="0.25">
      <c r="A34" s="16" t="s">
        <v>2</v>
      </c>
      <c r="B34" s="10">
        <f t="shared" si="6"/>
        <v>31</v>
      </c>
      <c r="C34" s="10">
        <f t="shared" si="6"/>
        <v>30</v>
      </c>
      <c r="D34" s="10">
        <f t="shared" si="6"/>
        <v>58</v>
      </c>
      <c r="E34" s="7">
        <f>+IF(B34&lt;(0.85*B$26),0.85*B$26,IF(B34&gt;(1.05*B$26),B34+2*(B34-1.05*B$26),B34))</f>
        <v>76.904754377192873</v>
      </c>
      <c r="F34" s="7">
        <f t="shared" si="7"/>
        <v>74.476201792130354</v>
      </c>
      <c r="G34" s="7">
        <f t="shared" si="7"/>
        <v>58.682971096740857</v>
      </c>
      <c r="H34" s="6">
        <f t="shared" si="10"/>
        <v>261.02040808182795</v>
      </c>
      <c r="I34" s="6">
        <f t="shared" si="8"/>
        <v>151.6666266950734</v>
      </c>
      <c r="J34" s="6">
        <f t="shared" si="8"/>
        <v>79.669737598830324</v>
      </c>
      <c r="K34" s="19">
        <f t="shared" si="11"/>
        <v>492.35677237573168</v>
      </c>
      <c r="O34"/>
      <c r="P34"/>
      <c r="Q34"/>
      <c r="S34"/>
      <c r="T34"/>
      <c r="U34"/>
    </row>
    <row r="35" spans="1:21" x14ac:dyDescent="0.25">
      <c r="A35" s="15" t="s">
        <v>28</v>
      </c>
      <c r="B35" s="14">
        <f t="shared" si="6"/>
        <v>75</v>
      </c>
      <c r="C35" s="14">
        <f t="shared" si="6"/>
        <v>85</v>
      </c>
      <c r="D35" s="14">
        <f t="shared" si="6"/>
        <v>60</v>
      </c>
      <c r="E35" s="3">
        <f t="shared" si="9"/>
        <v>76.904754377192873</v>
      </c>
      <c r="F35" s="3">
        <f t="shared" si="7"/>
        <v>85</v>
      </c>
      <c r="G35" s="3">
        <f t="shared" si="7"/>
        <v>60</v>
      </c>
      <c r="H35" s="2">
        <f t="shared" si="10"/>
        <v>261.02040808182795</v>
      </c>
      <c r="I35" s="2">
        <f t="shared" si="8"/>
        <v>173.09775416666665</v>
      </c>
      <c r="J35" s="2">
        <f t="shared" si="8"/>
        <v>81.457774999999998</v>
      </c>
      <c r="K35" s="18">
        <f t="shared" si="11"/>
        <v>515.5759372484946</v>
      </c>
    </row>
    <row r="36" spans="1:21" x14ac:dyDescent="0.25">
      <c r="A36" s="16" t="s">
        <v>29</v>
      </c>
      <c r="B36" s="10">
        <f t="shared" si="6"/>
        <v>81</v>
      </c>
      <c r="C36" s="10">
        <f t="shared" si="6"/>
        <v>85</v>
      </c>
      <c r="D36" s="10">
        <f t="shared" si="6"/>
        <v>65</v>
      </c>
      <c r="E36" s="7">
        <f t="shared" si="9"/>
        <v>81</v>
      </c>
      <c r="F36" s="7">
        <f t="shared" si="7"/>
        <v>85</v>
      </c>
      <c r="G36" s="7">
        <f t="shared" si="7"/>
        <v>65</v>
      </c>
      <c r="H36" s="6">
        <f t="shared" si="10"/>
        <v>274.91997375</v>
      </c>
      <c r="I36" s="6">
        <f t="shared" si="8"/>
        <v>173.09775416666665</v>
      </c>
      <c r="J36" s="6">
        <f t="shared" si="8"/>
        <v>88.245922916666657</v>
      </c>
      <c r="K36" s="19">
        <f t="shared" si="11"/>
        <v>536.26365083333337</v>
      </c>
    </row>
    <row r="37" spans="1:21" x14ac:dyDescent="0.25">
      <c r="A37" s="15" t="s">
        <v>30</v>
      </c>
      <c r="B37" s="14">
        <f t="shared" si="6"/>
        <v>78</v>
      </c>
      <c r="C37" s="14">
        <f t="shared" si="6"/>
        <v>85</v>
      </c>
      <c r="D37" s="14">
        <f t="shared" si="6"/>
        <v>85</v>
      </c>
      <c r="E37" s="3">
        <f t="shared" si="9"/>
        <v>78</v>
      </c>
      <c r="F37" s="3">
        <f t="shared" si="7"/>
        <v>85</v>
      </c>
      <c r="G37" s="3">
        <f t="shared" si="7"/>
        <v>110.01854199628727</v>
      </c>
      <c r="H37" s="2">
        <f t="shared" si="10"/>
        <v>264.7377525</v>
      </c>
      <c r="I37" s="2">
        <f t="shared" si="8"/>
        <v>173.09775416666665</v>
      </c>
      <c r="J37" s="2">
        <f t="shared" si="8"/>
        <v>149.36442732936032</v>
      </c>
      <c r="K37" s="18">
        <f t="shared" si="11"/>
        <v>587.19993399602697</v>
      </c>
    </row>
    <row r="38" spans="1:21" x14ac:dyDescent="0.25">
      <c r="A38" s="16" t="s">
        <v>31</v>
      </c>
      <c r="B38" s="10">
        <f t="shared" si="6"/>
        <v>95</v>
      </c>
      <c r="C38" s="10">
        <f t="shared" si="6"/>
        <v>60</v>
      </c>
      <c r="D38" s="10">
        <f t="shared" si="6"/>
        <v>75</v>
      </c>
      <c r="E38" s="7">
        <f t="shared" si="9"/>
        <v>95.000018597523479</v>
      </c>
      <c r="F38" s="7">
        <f t="shared" si="7"/>
        <v>74.476201792130354</v>
      </c>
      <c r="G38" s="7">
        <f t="shared" si="7"/>
        <v>80.018541996287269</v>
      </c>
      <c r="H38" s="6">
        <f t="shared" si="10"/>
        <v>322.43706937136625</v>
      </c>
      <c r="I38" s="6">
        <f t="shared" si="8"/>
        <v>151.6666266950734</v>
      </c>
      <c r="J38" s="6">
        <f t="shared" si="8"/>
        <v>108.63553982936031</v>
      </c>
      <c r="K38" s="19">
        <f t="shared" si="11"/>
        <v>582.73923589579999</v>
      </c>
    </row>
    <row r="39" spans="1:21" x14ac:dyDescent="0.25">
      <c r="A39" s="15" t="s">
        <v>32</v>
      </c>
      <c r="B39" s="14">
        <f t="shared" si="6"/>
        <v>94</v>
      </c>
      <c r="C39" s="14">
        <f t="shared" si="6"/>
        <v>92</v>
      </c>
      <c r="D39" s="14">
        <f t="shared" si="6"/>
        <v>55</v>
      </c>
      <c r="E39" s="3">
        <f t="shared" si="9"/>
        <v>94</v>
      </c>
      <c r="F39" s="3">
        <f t="shared" si="7"/>
        <v>92</v>
      </c>
      <c r="G39" s="3">
        <f t="shared" si="7"/>
        <v>58.682971096740857</v>
      </c>
      <c r="H39" s="2">
        <f t="shared" si="10"/>
        <v>319.04293249999995</v>
      </c>
      <c r="I39" s="2">
        <f t="shared" si="8"/>
        <v>187.35286333333332</v>
      </c>
      <c r="J39" s="2">
        <f t="shared" si="8"/>
        <v>79.669737598830324</v>
      </c>
      <c r="K39" s="18">
        <f t="shared" si="11"/>
        <v>586.06553343216365</v>
      </c>
    </row>
    <row r="40" spans="1:21" x14ac:dyDescent="0.25">
      <c r="A40" s="16" t="s">
        <v>33</v>
      </c>
      <c r="B40" s="10">
        <f t="shared" si="6"/>
        <v>95</v>
      </c>
      <c r="C40" s="10">
        <f t="shared" si="6"/>
        <v>95</v>
      </c>
      <c r="D40" s="10">
        <f t="shared" si="6"/>
        <v>65</v>
      </c>
      <c r="E40" s="7">
        <f t="shared" si="9"/>
        <v>95.000018597523479</v>
      </c>
      <c r="F40" s="7">
        <f t="shared" si="7"/>
        <v>100.99997204297205</v>
      </c>
      <c r="G40" s="7">
        <f t="shared" si="7"/>
        <v>65</v>
      </c>
      <c r="H40" s="6">
        <f t="shared" si="10"/>
        <v>322.43706937136625</v>
      </c>
      <c r="I40" s="6">
        <f t="shared" si="8"/>
        <v>205.68080390040686</v>
      </c>
      <c r="J40" s="6">
        <f t="shared" si="8"/>
        <v>88.245922916666657</v>
      </c>
      <c r="K40" s="19">
        <f t="shared" si="11"/>
        <v>616.36379618843978</v>
      </c>
    </row>
    <row r="41" spans="1:21" ht="21" x14ac:dyDescent="0.35">
      <c r="A41" s="4"/>
      <c r="B41" s="5"/>
      <c r="C41" s="5"/>
      <c r="D41" s="5"/>
      <c r="E41" s="7"/>
      <c r="F41" s="7"/>
      <c r="G41" s="7"/>
      <c r="H41" s="11"/>
      <c r="I41" s="11"/>
      <c r="J41" s="20" t="s">
        <v>24</v>
      </c>
      <c r="K41" s="21">
        <f>SUBTOTAL(109,Taula217[CP '[€/mes']])</f>
        <v>6531.0700789585426</v>
      </c>
    </row>
    <row r="42" spans="1:21" x14ac:dyDescent="0.25">
      <c r="A42" s="4"/>
      <c r="B42" s="4"/>
      <c r="C42" s="4"/>
      <c r="D42" s="4"/>
      <c r="E42" s="4"/>
      <c r="F42" s="4"/>
      <c r="G42" s="4"/>
      <c r="H42" s="4"/>
      <c r="I42" s="4"/>
      <c r="J42" s="4"/>
      <c r="K42" s="4"/>
    </row>
    <row r="43" spans="1:21" x14ac:dyDescent="0.25">
      <c r="A43" s="4"/>
      <c r="B43" s="4"/>
      <c r="C43" s="4"/>
      <c r="D43" s="4"/>
      <c r="E43" s="4"/>
      <c r="F43" s="4"/>
      <c r="G43" s="4"/>
      <c r="H43" s="4"/>
      <c r="I43" s="4"/>
      <c r="J43" s="4"/>
      <c r="K43" s="4"/>
    </row>
    <row r="44" spans="1:21" ht="23.25" x14ac:dyDescent="0.35">
      <c r="A44" s="4"/>
      <c r="B44" s="4"/>
      <c r="C44" s="4"/>
      <c r="D44" s="4"/>
      <c r="E44" s="4"/>
      <c r="F44" s="4"/>
      <c r="G44" s="4"/>
      <c r="H44" s="4"/>
      <c r="I44" s="4"/>
      <c r="J44" s="24" t="s">
        <v>34</v>
      </c>
      <c r="K44" s="25">
        <f>K20-K41</f>
        <v>2103.7930247914555</v>
      </c>
    </row>
    <row r="45" spans="1:21" ht="23.25" x14ac:dyDescent="0.35">
      <c r="A45" s="4"/>
      <c r="B45" s="4"/>
      <c r="C45" s="4"/>
      <c r="D45" s="4"/>
      <c r="E45" s="4"/>
      <c r="F45" s="4"/>
      <c r="G45" s="4"/>
      <c r="H45" s="4"/>
      <c r="I45" s="4"/>
      <c r="J45" s="26"/>
      <c r="K45" s="26"/>
    </row>
    <row r="46" spans="1:21" ht="23.25" x14ac:dyDescent="0.35">
      <c r="A46" s="4"/>
      <c r="B46" s="4"/>
      <c r="C46" s="4"/>
      <c r="D46" s="4"/>
      <c r="E46" s="4"/>
      <c r="F46" s="4"/>
      <c r="G46" s="4"/>
      <c r="H46" s="4"/>
      <c r="I46" s="4"/>
      <c r="J46" s="24" t="s">
        <v>35</v>
      </c>
      <c r="K46" s="25">
        <v>-9.0447600000000001</v>
      </c>
    </row>
    <row r="47" spans="1:21" ht="23.25" x14ac:dyDescent="0.35">
      <c r="A47" s="4"/>
      <c r="B47" s="4"/>
      <c r="C47" s="4"/>
      <c r="D47" s="4"/>
      <c r="E47" s="4"/>
      <c r="F47" s="4"/>
      <c r="G47" s="4"/>
      <c r="H47" s="4"/>
      <c r="I47" s="4"/>
      <c r="J47" s="24" t="s">
        <v>38</v>
      </c>
      <c r="K47" s="99">
        <f>IF(OR((Taula420[PCO1]-Taula319[PC1])&gt;0,(Taula420[PCO2]-Taula319[PC2])&gt;0,(Taula420[PCO3]-Taula319[PC3])&gt;0),-MAX((Taula420[PCO1]-Taula319[PC1]),(Taula420[PCO2]-Taula319[PC2]),(Taula420[PCO3]-Taula319[PC3]))*17.374714,0)</f>
        <v>0</v>
      </c>
      <c r="O47" s="54"/>
      <c r="P47" s="54"/>
      <c r="Q47" s="54"/>
    </row>
    <row r="48" spans="1:21" ht="23.25" x14ac:dyDescent="0.35">
      <c r="A48" s="4"/>
      <c r="B48" s="4"/>
      <c r="C48" s="4"/>
      <c r="D48" s="4"/>
      <c r="E48" s="4"/>
      <c r="F48" s="4"/>
      <c r="G48" s="4"/>
      <c r="H48" s="4"/>
      <c r="I48" s="4"/>
      <c r="J48" s="24" t="s">
        <v>39</v>
      </c>
      <c r="K48" s="99">
        <f>IF(OR((Taula420[PCO1]-Taula319[PC1])&gt;0,(Taula420[PCO2]-Taula319[PC2])&gt;0,(Taula420[PCO3]-Taula319[PC3])&gt;0),-MAX((Taula420[PCO1]-Taula319[PC1]),(Taula420[PCO2]-Taula319[PC2]),(Taula420[PCO3]-Taula319[PC3]))*19.703137,0)</f>
        <v>0</v>
      </c>
    </row>
    <row r="49" spans="1:11" ht="23.25" x14ac:dyDescent="0.35">
      <c r="A49" s="4"/>
      <c r="B49" s="4"/>
      <c r="C49" s="4"/>
      <c r="D49" s="4"/>
      <c r="E49" s="4"/>
      <c r="F49" s="4"/>
      <c r="G49" s="4"/>
      <c r="H49" s="4"/>
      <c r="I49" s="4"/>
      <c r="J49" s="24"/>
      <c r="K49" s="27"/>
    </row>
    <row r="50" spans="1:11" ht="23.25" x14ac:dyDescent="0.35">
      <c r="A50" s="4"/>
      <c r="B50" s="4"/>
      <c r="C50" s="4"/>
      <c r="D50" s="4"/>
      <c r="E50" s="4"/>
      <c r="F50" s="4"/>
      <c r="G50" s="4"/>
      <c r="H50" s="4"/>
      <c r="I50" s="4"/>
      <c r="J50" s="24" t="s">
        <v>36</v>
      </c>
      <c r="K50" s="28" t="s">
        <v>37</v>
      </c>
    </row>
    <row r="51" spans="1:11" x14ac:dyDescent="0.25">
      <c r="A51" s="4"/>
      <c r="B51" s="4"/>
      <c r="C51" s="4"/>
      <c r="D51" s="4"/>
      <c r="E51" s="4"/>
      <c r="F51" s="4"/>
      <c r="G51" s="4"/>
      <c r="H51" s="4"/>
      <c r="I51" s="4"/>
      <c r="J51" s="4"/>
      <c r="K51" s="4"/>
    </row>
    <row r="52" spans="1:11" ht="21" x14ac:dyDescent="0.25">
      <c r="A52" s="4"/>
      <c r="B52" s="4"/>
      <c r="C52" s="4"/>
      <c r="D52" s="4"/>
      <c r="E52" s="4"/>
      <c r="F52" s="4"/>
      <c r="G52" s="4"/>
      <c r="H52" s="4"/>
      <c r="I52" s="4"/>
      <c r="J52" s="13"/>
      <c r="K52" s="12"/>
    </row>
  </sheetData>
  <conditionalFormatting sqref="K8:K19 K29:K40">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4"/>
  <dimension ref="A1:W52"/>
  <sheetViews>
    <sheetView zoomScale="110" zoomScaleNormal="110" workbookViewId="0">
      <selection activeCell="D26" sqref="D26"/>
    </sheetView>
  </sheetViews>
  <sheetFormatPr defaultRowHeight="15" x14ac:dyDescent="0.25"/>
  <cols>
    <col min="1" max="1" width="12.85546875" customWidth="1"/>
    <col min="2" max="10" width="13.85546875" customWidth="1"/>
    <col min="11" max="11" width="20.140625" customWidth="1"/>
    <col min="15" max="19" width="10" customWidth="1"/>
    <col min="20" max="20" width="11.5703125" bestFit="1" customWidth="1"/>
    <col min="22" max="22" width="9.5703125" bestFit="1" customWidth="1"/>
  </cols>
  <sheetData>
    <row r="1" spans="1:22" x14ac:dyDescent="0.25">
      <c r="A1" s="4"/>
      <c r="B1" s="4"/>
      <c r="C1" s="4"/>
      <c r="D1" s="4"/>
      <c r="E1" s="4"/>
      <c r="F1" s="4"/>
      <c r="G1" s="4"/>
      <c r="H1" s="4"/>
      <c r="I1" s="4"/>
      <c r="J1" s="4"/>
      <c r="K1" s="4"/>
    </row>
    <row r="2" spans="1:22" ht="23.25" x14ac:dyDescent="0.35">
      <c r="A2" s="17" t="s">
        <v>80</v>
      </c>
      <c r="B2" s="4"/>
      <c r="C2" s="4"/>
      <c r="D2" s="4"/>
      <c r="E2" s="4"/>
      <c r="F2" s="4"/>
      <c r="G2" s="4"/>
      <c r="H2" s="4"/>
      <c r="I2" s="4"/>
      <c r="J2" s="4"/>
      <c r="K2" s="4"/>
    </row>
    <row r="3" spans="1:22" x14ac:dyDescent="0.25">
      <c r="A3" s="4"/>
      <c r="B3" s="4"/>
      <c r="C3" s="4"/>
      <c r="D3" s="4"/>
      <c r="E3" s="4"/>
      <c r="F3" s="4"/>
      <c r="G3" s="4"/>
      <c r="H3" s="4"/>
      <c r="I3" s="4"/>
      <c r="J3" s="4"/>
      <c r="K3" s="4"/>
    </row>
    <row r="4" spans="1:22" x14ac:dyDescent="0.25">
      <c r="A4" s="4"/>
      <c r="B4" s="1" t="s">
        <v>3</v>
      </c>
      <c r="C4" s="1" t="s">
        <v>4</v>
      </c>
      <c r="D4" s="1" t="s">
        <v>5</v>
      </c>
      <c r="E4" s="4"/>
      <c r="F4" s="4"/>
      <c r="G4" s="4"/>
      <c r="H4" s="1" t="s">
        <v>10</v>
      </c>
      <c r="I4" s="1" t="s">
        <v>11</v>
      </c>
      <c r="J4" s="1" t="s">
        <v>12</v>
      </c>
      <c r="K4" s="4"/>
    </row>
    <row r="5" spans="1:22" ht="21" x14ac:dyDescent="0.35">
      <c r="A5" s="4"/>
      <c r="B5" s="22">
        <f>+'Entrada de dades'!C11</f>
        <v>100</v>
      </c>
      <c r="C5" s="22">
        <f>+'Entrada de dades'!D11</f>
        <v>110</v>
      </c>
      <c r="D5" s="22">
        <f>+'Entrada de dades'!E11</f>
        <v>200</v>
      </c>
      <c r="E5" s="4"/>
      <c r="F5" s="4"/>
      <c r="G5" s="4"/>
      <c r="H5" s="1">
        <f>'Entrada de dades'!D2</f>
        <v>40.728884999999998</v>
      </c>
      <c r="I5" s="1">
        <f>'Entrada de dades'!E2</f>
        <v>24.437329999999999</v>
      </c>
      <c r="J5" s="1">
        <f>'Entrada de dades'!F2</f>
        <v>16.291554999999999</v>
      </c>
      <c r="K5" s="4"/>
      <c r="O5" s="29"/>
      <c r="P5" s="29"/>
      <c r="Q5" s="29"/>
      <c r="R5" s="29"/>
      <c r="S5" s="29"/>
      <c r="T5" s="29"/>
      <c r="V5" s="71"/>
    </row>
    <row r="6" spans="1:22" x14ac:dyDescent="0.25">
      <c r="A6" s="4"/>
      <c r="B6" s="5"/>
      <c r="C6" s="5"/>
      <c r="D6" s="5"/>
      <c r="E6" s="4"/>
      <c r="F6" s="4"/>
      <c r="G6" s="4"/>
      <c r="H6" s="4"/>
      <c r="I6" s="4"/>
      <c r="J6" s="4"/>
      <c r="K6" s="4"/>
      <c r="V6" s="29"/>
    </row>
    <row r="7" spans="1:22" x14ac:dyDescent="0.25">
      <c r="A7" s="8" t="s">
        <v>9</v>
      </c>
      <c r="B7" s="9" t="s">
        <v>22</v>
      </c>
      <c r="C7" s="9" t="s">
        <v>21</v>
      </c>
      <c r="D7" s="9" t="s">
        <v>20</v>
      </c>
      <c r="E7" s="9" t="s">
        <v>19</v>
      </c>
      <c r="F7" s="9" t="s">
        <v>18</v>
      </c>
      <c r="G7" s="9" t="s">
        <v>17</v>
      </c>
      <c r="H7" s="9" t="s">
        <v>13</v>
      </c>
      <c r="I7" s="9" t="s">
        <v>14</v>
      </c>
      <c r="J7" s="9" t="s">
        <v>15</v>
      </c>
      <c r="K7" s="9" t="s">
        <v>16</v>
      </c>
    </row>
    <row r="8" spans="1:22" x14ac:dyDescent="0.25">
      <c r="A8" s="15" t="s">
        <v>25</v>
      </c>
      <c r="B8" s="14">
        <f>+'Entrada de dades'!C16</f>
        <v>82</v>
      </c>
      <c r="C8" s="14">
        <f>+'Entrada de dades'!D16</f>
        <v>81</v>
      </c>
      <c r="D8" s="14">
        <f>+'Entrada de dades'!E16</f>
        <v>72</v>
      </c>
      <c r="E8" s="3">
        <f>+IF(B8&lt;(0.85*B$5),0.85*B$5,IF(B8&gt;(1.05*B$5),B8+2*(B8-1.05*B$5),B8))</f>
        <v>85</v>
      </c>
      <c r="F8" s="3">
        <f t="shared" ref="F8:G19" si="0">+IF(C8&lt;(0.85*C$5),0.85*C$5,IF(C8&gt;(1.05*C$5),C8+2*(C8-1.05*C$5),C8))</f>
        <v>93.5</v>
      </c>
      <c r="G8" s="3">
        <f>+IF(D8&lt;(0.85*D$5),0.85*D$5,IF(D8&gt;(1.05*D$5),D8+2*(D8-1.05*D$5),D8))</f>
        <v>170</v>
      </c>
      <c r="H8" s="2">
        <f>+H$5*E8/12</f>
        <v>288.49626874999996</v>
      </c>
      <c r="I8" s="2">
        <f t="shared" ref="I8:J19" si="1">+I$5*F8/12</f>
        <v>190.40752958333334</v>
      </c>
      <c r="J8" s="2">
        <f t="shared" si="1"/>
        <v>230.79702916666665</v>
      </c>
      <c r="K8" s="18">
        <f>SUM(H8:J8)</f>
        <v>709.70082749999995</v>
      </c>
    </row>
    <row r="9" spans="1:22" x14ac:dyDescent="0.25">
      <c r="A9" s="16" t="s">
        <v>26</v>
      </c>
      <c r="B9" s="10">
        <f>+'Entrada de dades'!C17</f>
        <v>20</v>
      </c>
      <c r="C9" s="10">
        <f>+'Entrada de dades'!D17</f>
        <v>80</v>
      </c>
      <c r="D9" s="10">
        <f>+'Entrada de dades'!E17</f>
        <v>70</v>
      </c>
      <c r="E9" s="7">
        <f t="shared" ref="E9:E19" si="2">+IF(B9&lt;(0.85*B$5),0.85*B$5,IF(B9&gt;(1.05*B$5),B9+2*(B9-1.05*B$5),B9))</f>
        <v>85</v>
      </c>
      <c r="F9" s="7">
        <f t="shared" si="0"/>
        <v>93.5</v>
      </c>
      <c r="G9" s="7">
        <f t="shared" si="0"/>
        <v>170</v>
      </c>
      <c r="H9" s="6">
        <f t="shared" ref="H9:H19" si="3">+H$5*E9/12</f>
        <v>288.49626874999996</v>
      </c>
      <c r="I9" s="6">
        <f t="shared" si="1"/>
        <v>190.40752958333334</v>
      </c>
      <c r="J9" s="6">
        <f t="shared" si="1"/>
        <v>230.79702916666665</v>
      </c>
      <c r="K9" s="19">
        <f t="shared" ref="K9:K18" si="4">SUM(H9:J9)</f>
        <v>709.70082749999995</v>
      </c>
    </row>
    <row r="10" spans="1:22" x14ac:dyDescent="0.25">
      <c r="A10" s="15" t="s">
        <v>0</v>
      </c>
      <c r="B10" s="14">
        <f>+'Entrada de dades'!C18</f>
        <v>80</v>
      </c>
      <c r="C10" s="14">
        <f>+'Entrada de dades'!D18</f>
        <v>80</v>
      </c>
      <c r="D10" s="14">
        <f>+'Entrada de dades'!E18</f>
        <v>56</v>
      </c>
      <c r="E10" s="3">
        <f t="shared" si="2"/>
        <v>85</v>
      </c>
      <c r="F10" s="3">
        <f t="shared" si="0"/>
        <v>93.5</v>
      </c>
      <c r="G10" s="3">
        <f t="shared" si="0"/>
        <v>170</v>
      </c>
      <c r="H10" s="2">
        <f t="shared" si="3"/>
        <v>288.49626874999996</v>
      </c>
      <c r="I10" s="2">
        <f t="shared" si="1"/>
        <v>190.40752958333334</v>
      </c>
      <c r="J10" s="2">
        <f t="shared" si="1"/>
        <v>230.79702916666665</v>
      </c>
      <c r="K10" s="18">
        <f t="shared" si="4"/>
        <v>709.70082749999995</v>
      </c>
    </row>
    <row r="11" spans="1:22" x14ac:dyDescent="0.25">
      <c r="A11" s="16" t="s">
        <v>27</v>
      </c>
      <c r="B11" s="10">
        <f>+'Entrada de dades'!C19</f>
        <v>90</v>
      </c>
      <c r="C11" s="10">
        <f>+'Entrada de dades'!D19</f>
        <v>80</v>
      </c>
      <c r="D11" s="10">
        <f>+'Entrada de dades'!E19</f>
        <v>56</v>
      </c>
      <c r="E11" s="7">
        <f t="shared" si="2"/>
        <v>90</v>
      </c>
      <c r="F11" s="7">
        <f t="shared" si="0"/>
        <v>93.5</v>
      </c>
      <c r="G11" s="7">
        <f t="shared" si="0"/>
        <v>170</v>
      </c>
      <c r="H11" s="6">
        <f t="shared" si="3"/>
        <v>305.46663749999999</v>
      </c>
      <c r="I11" s="6">
        <f t="shared" si="1"/>
        <v>190.40752958333334</v>
      </c>
      <c r="J11" s="6">
        <f t="shared" si="1"/>
        <v>230.79702916666665</v>
      </c>
      <c r="K11" s="19">
        <f t="shared" si="4"/>
        <v>726.67119624999998</v>
      </c>
    </row>
    <row r="12" spans="1:22" x14ac:dyDescent="0.25">
      <c r="A12" s="15" t="s">
        <v>1</v>
      </c>
      <c r="B12" s="14">
        <f>+'Entrada de dades'!C20</f>
        <v>55</v>
      </c>
      <c r="C12" s="14">
        <f>+'Entrada de dades'!D20</f>
        <v>55</v>
      </c>
      <c r="D12" s="14">
        <f>+'Entrada de dades'!E20</f>
        <v>55</v>
      </c>
      <c r="E12" s="3">
        <f t="shared" si="2"/>
        <v>85</v>
      </c>
      <c r="F12" s="3">
        <f t="shared" si="0"/>
        <v>93.5</v>
      </c>
      <c r="G12" s="3">
        <f t="shared" si="0"/>
        <v>170</v>
      </c>
      <c r="H12" s="2">
        <f t="shared" si="3"/>
        <v>288.49626874999996</v>
      </c>
      <c r="I12" s="2">
        <f t="shared" si="1"/>
        <v>190.40752958333334</v>
      </c>
      <c r="J12" s="2">
        <f t="shared" si="1"/>
        <v>230.79702916666665</v>
      </c>
      <c r="K12" s="18">
        <f t="shared" si="4"/>
        <v>709.70082749999995</v>
      </c>
    </row>
    <row r="13" spans="1:22" x14ac:dyDescent="0.25">
      <c r="A13" s="16" t="s">
        <v>2</v>
      </c>
      <c r="B13" s="10">
        <f>+'Entrada de dades'!C21</f>
        <v>31</v>
      </c>
      <c r="C13" s="10">
        <f>+'Entrada de dades'!D21</f>
        <v>30</v>
      </c>
      <c r="D13" s="10">
        <f>+'Entrada de dades'!E21</f>
        <v>58</v>
      </c>
      <c r="E13" s="7">
        <f t="shared" si="2"/>
        <v>85</v>
      </c>
      <c r="F13" s="7">
        <f t="shared" si="0"/>
        <v>93.5</v>
      </c>
      <c r="G13" s="7">
        <f t="shared" si="0"/>
        <v>170</v>
      </c>
      <c r="H13" s="6">
        <f t="shared" si="3"/>
        <v>288.49626874999996</v>
      </c>
      <c r="I13" s="6">
        <f t="shared" si="1"/>
        <v>190.40752958333334</v>
      </c>
      <c r="J13" s="6">
        <f t="shared" si="1"/>
        <v>230.79702916666665</v>
      </c>
      <c r="K13" s="19">
        <f t="shared" si="4"/>
        <v>709.70082749999995</v>
      </c>
    </row>
    <row r="14" spans="1:22" x14ac:dyDescent="0.25">
      <c r="A14" s="15" t="s">
        <v>28</v>
      </c>
      <c r="B14" s="14">
        <f>+'Entrada de dades'!C22</f>
        <v>75</v>
      </c>
      <c r="C14" s="14">
        <f>+'Entrada de dades'!D22</f>
        <v>85</v>
      </c>
      <c r="D14" s="14">
        <f>+'Entrada de dades'!E22</f>
        <v>60</v>
      </c>
      <c r="E14" s="3">
        <f t="shared" si="2"/>
        <v>85</v>
      </c>
      <c r="F14" s="3">
        <f t="shared" si="0"/>
        <v>93.5</v>
      </c>
      <c r="G14" s="3">
        <f t="shared" si="0"/>
        <v>170</v>
      </c>
      <c r="H14" s="2">
        <f t="shared" si="3"/>
        <v>288.49626874999996</v>
      </c>
      <c r="I14" s="2">
        <f t="shared" si="1"/>
        <v>190.40752958333334</v>
      </c>
      <c r="J14" s="2">
        <f t="shared" si="1"/>
        <v>230.79702916666665</v>
      </c>
      <c r="K14" s="18">
        <f t="shared" si="4"/>
        <v>709.70082749999995</v>
      </c>
    </row>
    <row r="15" spans="1:22" x14ac:dyDescent="0.25">
      <c r="A15" s="16" t="s">
        <v>29</v>
      </c>
      <c r="B15" s="10">
        <f>+'Entrada de dades'!C23</f>
        <v>81</v>
      </c>
      <c r="C15" s="10">
        <f>+'Entrada de dades'!D23</f>
        <v>85</v>
      </c>
      <c r="D15" s="10">
        <f>+'Entrada de dades'!E23</f>
        <v>65</v>
      </c>
      <c r="E15" s="7">
        <f t="shared" si="2"/>
        <v>85</v>
      </c>
      <c r="F15" s="7">
        <f t="shared" si="0"/>
        <v>93.5</v>
      </c>
      <c r="G15" s="7">
        <f t="shared" si="0"/>
        <v>170</v>
      </c>
      <c r="H15" s="6">
        <f t="shared" si="3"/>
        <v>288.49626874999996</v>
      </c>
      <c r="I15" s="6">
        <f t="shared" si="1"/>
        <v>190.40752958333334</v>
      </c>
      <c r="J15" s="6">
        <f t="shared" si="1"/>
        <v>230.79702916666665</v>
      </c>
      <c r="K15" s="19">
        <f t="shared" si="4"/>
        <v>709.70082749999995</v>
      </c>
    </row>
    <row r="16" spans="1:22" x14ac:dyDescent="0.25">
      <c r="A16" s="15" t="s">
        <v>30</v>
      </c>
      <c r="B16" s="14">
        <f>+'Entrada de dades'!C24</f>
        <v>78</v>
      </c>
      <c r="C16" s="14">
        <f>+'Entrada de dades'!D24</f>
        <v>85</v>
      </c>
      <c r="D16" s="14">
        <f>+'Entrada de dades'!E24</f>
        <v>85</v>
      </c>
      <c r="E16" s="3">
        <f t="shared" si="2"/>
        <v>85</v>
      </c>
      <c r="F16" s="3">
        <f t="shared" si="0"/>
        <v>93.5</v>
      </c>
      <c r="G16" s="3">
        <f t="shared" si="0"/>
        <v>170</v>
      </c>
      <c r="H16" s="2">
        <f t="shared" si="3"/>
        <v>288.49626874999996</v>
      </c>
      <c r="I16" s="2">
        <f t="shared" si="1"/>
        <v>190.40752958333334</v>
      </c>
      <c r="J16" s="2">
        <f t="shared" si="1"/>
        <v>230.79702916666665</v>
      </c>
      <c r="K16" s="18">
        <f t="shared" si="4"/>
        <v>709.70082749999995</v>
      </c>
    </row>
    <row r="17" spans="1:23" x14ac:dyDescent="0.25">
      <c r="A17" s="16" t="s">
        <v>31</v>
      </c>
      <c r="B17" s="10">
        <f>+'Entrada de dades'!C25</f>
        <v>95</v>
      </c>
      <c r="C17" s="10">
        <f>+'Entrada de dades'!D25</f>
        <v>60</v>
      </c>
      <c r="D17" s="10">
        <f>+'Entrada de dades'!E25</f>
        <v>75</v>
      </c>
      <c r="E17" s="7">
        <f t="shared" si="2"/>
        <v>95</v>
      </c>
      <c r="F17" s="7">
        <f t="shared" si="0"/>
        <v>93.5</v>
      </c>
      <c r="G17" s="7">
        <f t="shared" si="0"/>
        <v>170</v>
      </c>
      <c r="H17" s="6">
        <f t="shared" si="3"/>
        <v>322.43700624999997</v>
      </c>
      <c r="I17" s="6">
        <f t="shared" si="1"/>
        <v>190.40752958333334</v>
      </c>
      <c r="J17" s="6">
        <f t="shared" si="1"/>
        <v>230.79702916666665</v>
      </c>
      <c r="K17" s="19">
        <f t="shared" si="4"/>
        <v>743.64156500000001</v>
      </c>
    </row>
    <row r="18" spans="1:23" x14ac:dyDescent="0.25">
      <c r="A18" s="15" t="s">
        <v>32</v>
      </c>
      <c r="B18" s="14">
        <f>+'Entrada de dades'!C26</f>
        <v>94</v>
      </c>
      <c r="C18" s="14">
        <f>+'Entrada de dades'!D26</f>
        <v>92</v>
      </c>
      <c r="D18" s="14">
        <f>+'Entrada de dades'!E26</f>
        <v>55</v>
      </c>
      <c r="E18" s="3">
        <f t="shared" si="2"/>
        <v>94</v>
      </c>
      <c r="F18" s="3">
        <f t="shared" si="0"/>
        <v>93.5</v>
      </c>
      <c r="G18" s="3">
        <f t="shared" si="0"/>
        <v>170</v>
      </c>
      <c r="H18" s="2">
        <f t="shared" si="3"/>
        <v>319.04293249999995</v>
      </c>
      <c r="I18" s="2">
        <f t="shared" si="1"/>
        <v>190.40752958333334</v>
      </c>
      <c r="J18" s="2">
        <f t="shared" si="1"/>
        <v>230.79702916666665</v>
      </c>
      <c r="K18" s="18">
        <f t="shared" si="4"/>
        <v>740.24749124999994</v>
      </c>
    </row>
    <row r="19" spans="1:23" x14ac:dyDescent="0.25">
      <c r="A19" s="16" t="s">
        <v>33</v>
      </c>
      <c r="B19" s="10">
        <f>+'Entrada de dades'!C27</f>
        <v>95</v>
      </c>
      <c r="C19" s="10">
        <f>+'Entrada de dades'!D27</f>
        <v>95</v>
      </c>
      <c r="D19" s="10">
        <f>+'Entrada de dades'!E27</f>
        <v>65</v>
      </c>
      <c r="E19" s="7">
        <f t="shared" si="2"/>
        <v>95</v>
      </c>
      <c r="F19" s="7">
        <f t="shared" si="0"/>
        <v>95</v>
      </c>
      <c r="G19" s="7">
        <f t="shared" si="0"/>
        <v>170</v>
      </c>
      <c r="H19" s="6">
        <f t="shared" si="3"/>
        <v>322.43700624999997</v>
      </c>
      <c r="I19" s="6">
        <f t="shared" si="1"/>
        <v>193.46219583333334</v>
      </c>
      <c r="J19" s="6">
        <f t="shared" si="1"/>
        <v>230.79702916666665</v>
      </c>
      <c r="K19" s="19">
        <f>SUM(H19:J19)</f>
        <v>746.69623124999998</v>
      </c>
    </row>
    <row r="20" spans="1:23" ht="21" x14ac:dyDescent="0.35">
      <c r="A20" s="4"/>
      <c r="B20" s="5"/>
      <c r="C20" s="5"/>
      <c r="D20" s="5"/>
      <c r="E20" s="5"/>
      <c r="F20" s="5"/>
      <c r="G20" s="5"/>
      <c r="H20" s="11"/>
      <c r="I20" s="11"/>
      <c r="J20" s="20" t="s">
        <v>23</v>
      </c>
      <c r="K20" s="21">
        <f>SUBTOTAL(109,Taula129[CP '[€/mes']])</f>
        <v>8634.8631037499981</v>
      </c>
    </row>
    <row r="21" spans="1:23" x14ac:dyDescent="0.25">
      <c r="A21" s="4"/>
      <c r="B21" s="4"/>
      <c r="C21" s="4"/>
      <c r="D21" s="4"/>
      <c r="E21" s="4"/>
      <c r="F21" s="4"/>
      <c r="G21" s="4"/>
      <c r="H21" s="4"/>
      <c r="I21" s="4"/>
      <c r="J21" s="4"/>
      <c r="K21" s="4"/>
    </row>
    <row r="22" spans="1:23" x14ac:dyDescent="0.25">
      <c r="A22" s="4"/>
      <c r="B22" s="4"/>
      <c r="C22" s="4"/>
      <c r="D22" s="4"/>
      <c r="E22" s="4"/>
      <c r="F22" s="4"/>
      <c r="G22" s="4"/>
      <c r="H22" s="4"/>
      <c r="I22" s="4"/>
      <c r="J22" s="4"/>
      <c r="K22" s="4"/>
    </row>
    <row r="23" spans="1:23" ht="23.25" x14ac:dyDescent="0.35">
      <c r="A23" s="17" t="s">
        <v>81</v>
      </c>
      <c r="B23" s="4"/>
      <c r="C23" s="4"/>
      <c r="D23" s="4"/>
      <c r="E23" s="4"/>
      <c r="F23" s="4"/>
      <c r="G23" s="4"/>
      <c r="H23" s="4"/>
      <c r="I23" s="4"/>
      <c r="J23" s="4"/>
      <c r="K23" s="4"/>
    </row>
    <row r="24" spans="1:23" x14ac:dyDescent="0.25">
      <c r="A24" s="4"/>
      <c r="B24" s="4"/>
      <c r="C24" s="4"/>
      <c r="D24" s="4"/>
      <c r="E24" s="4"/>
      <c r="F24" s="4"/>
      <c r="G24" s="4"/>
      <c r="H24" s="4"/>
      <c r="I24" s="4"/>
      <c r="J24" s="4"/>
      <c r="K24" s="4"/>
    </row>
    <row r="25" spans="1:23" x14ac:dyDescent="0.25">
      <c r="A25" s="4"/>
      <c r="B25" s="1" t="s">
        <v>6</v>
      </c>
      <c r="C25" s="1" t="s">
        <v>7</v>
      </c>
      <c r="D25" s="1" t="s">
        <v>8</v>
      </c>
      <c r="E25" s="4"/>
      <c r="F25" s="4"/>
      <c r="G25" s="4"/>
      <c r="H25" s="1" t="s">
        <v>10</v>
      </c>
      <c r="I25" s="1" t="s">
        <v>11</v>
      </c>
      <c r="J25" s="1" t="s">
        <v>12</v>
      </c>
      <c r="K25" s="4"/>
    </row>
    <row r="26" spans="1:23" ht="21" x14ac:dyDescent="0.35">
      <c r="A26" s="4"/>
      <c r="B26" s="23">
        <v>90.476166709830494</v>
      </c>
      <c r="C26" s="23">
        <v>90.476166709830494</v>
      </c>
      <c r="D26" s="23">
        <v>200</v>
      </c>
      <c r="E26" s="4"/>
      <c r="F26" s="4"/>
      <c r="G26" s="4"/>
      <c r="H26" s="1">
        <f>+H5</f>
        <v>40.728884999999998</v>
      </c>
      <c r="I26" s="1">
        <f t="shared" ref="I26:J26" si="5">+I5</f>
        <v>24.437329999999999</v>
      </c>
      <c r="J26" s="1">
        <f t="shared" si="5"/>
        <v>16.291554999999999</v>
      </c>
      <c r="K26" s="4"/>
    </row>
    <row r="27" spans="1:23" x14ac:dyDescent="0.25">
      <c r="A27" s="4"/>
      <c r="B27" s="5"/>
      <c r="C27" s="5"/>
      <c r="D27" s="5"/>
      <c r="E27" s="4"/>
      <c r="F27" s="4"/>
      <c r="G27" s="4"/>
      <c r="H27" s="4"/>
      <c r="I27" s="4"/>
      <c r="J27" s="4"/>
      <c r="K27" s="4"/>
    </row>
    <row r="28" spans="1:23" x14ac:dyDescent="0.25">
      <c r="A28" s="8" t="s">
        <v>9</v>
      </c>
      <c r="B28" s="9" t="s">
        <v>22</v>
      </c>
      <c r="C28" s="9" t="s">
        <v>21</v>
      </c>
      <c r="D28" s="9" t="s">
        <v>20</v>
      </c>
      <c r="E28" s="9" t="s">
        <v>19</v>
      </c>
      <c r="F28" s="9" t="s">
        <v>18</v>
      </c>
      <c r="G28" s="9" t="s">
        <v>17</v>
      </c>
      <c r="H28" s="9" t="s">
        <v>13</v>
      </c>
      <c r="I28" s="9" t="s">
        <v>14</v>
      </c>
      <c r="J28" s="9" t="s">
        <v>15</v>
      </c>
      <c r="K28" s="9" t="s">
        <v>16</v>
      </c>
    </row>
    <row r="29" spans="1:23" x14ac:dyDescent="0.25">
      <c r="A29" s="15" t="s">
        <v>25</v>
      </c>
      <c r="B29" s="14">
        <f t="shared" ref="B29:D40" si="6">+B8</f>
        <v>82</v>
      </c>
      <c r="C29" s="14">
        <f t="shared" si="6"/>
        <v>81</v>
      </c>
      <c r="D29" s="14">
        <f t="shared" si="6"/>
        <v>72</v>
      </c>
      <c r="E29" s="3">
        <f>+IF(B29&lt;(0.85*B$26),0.85*B$26,IF(B29&gt;(1.05*B$26),B29+2*(B29-1.05*B$26),B29))</f>
        <v>82</v>
      </c>
      <c r="F29" s="3">
        <f t="shared" ref="F29:G40" si="7">+IF(C29&lt;(0.85*C$26),0.85*C$26,IF(C29&gt;(1.05*C$26),C29+2*(C29-1.05*C$26),C29))</f>
        <v>81</v>
      </c>
      <c r="G29" s="3">
        <f t="shared" si="7"/>
        <v>170</v>
      </c>
      <c r="H29" s="2">
        <f>+H$26*E29/12</f>
        <v>278.31404749999996</v>
      </c>
      <c r="I29" s="2">
        <f t="shared" ref="I29:J40" si="8">+I$26*F29/12</f>
        <v>164.9519775</v>
      </c>
      <c r="J29" s="2">
        <f t="shared" si="8"/>
        <v>230.79702916666665</v>
      </c>
      <c r="K29" s="18">
        <f>SUM(H29:J29)</f>
        <v>674.06305416666657</v>
      </c>
      <c r="W29" s="30"/>
    </row>
    <row r="30" spans="1:23" x14ac:dyDescent="0.25">
      <c r="A30" s="16" t="s">
        <v>26</v>
      </c>
      <c r="B30" s="10">
        <f t="shared" si="6"/>
        <v>20</v>
      </c>
      <c r="C30" s="10">
        <f t="shared" si="6"/>
        <v>80</v>
      </c>
      <c r="D30" s="10">
        <f t="shared" si="6"/>
        <v>70</v>
      </c>
      <c r="E30" s="7">
        <f t="shared" ref="E30:E40" si="9">+IF(B30&lt;(0.85*B$26),0.85*B$26,IF(B30&gt;(1.05*B$26),B30+2*(B30-1.05*B$26),B30))</f>
        <v>76.904741703355924</v>
      </c>
      <c r="F30" s="7">
        <f t="shared" si="7"/>
        <v>80</v>
      </c>
      <c r="G30" s="7">
        <f t="shared" si="7"/>
        <v>170</v>
      </c>
      <c r="H30" s="6">
        <f t="shared" ref="H30:H40" si="10">+H$26*E30/12</f>
        <v>261.02036506589064</v>
      </c>
      <c r="I30" s="6">
        <f t="shared" si="8"/>
        <v>162.91553333333334</v>
      </c>
      <c r="J30" s="6">
        <f t="shared" si="8"/>
        <v>230.79702916666665</v>
      </c>
      <c r="K30" s="19">
        <f t="shared" ref="K30:K40" si="11">SUM(H30:J30)</f>
        <v>654.73292756589069</v>
      </c>
    </row>
    <row r="31" spans="1:23" x14ac:dyDescent="0.25">
      <c r="A31" s="15" t="s">
        <v>0</v>
      </c>
      <c r="B31" s="14">
        <f t="shared" si="6"/>
        <v>80</v>
      </c>
      <c r="C31" s="14">
        <f t="shared" si="6"/>
        <v>80</v>
      </c>
      <c r="D31" s="14">
        <f t="shared" si="6"/>
        <v>56</v>
      </c>
      <c r="E31" s="3">
        <f t="shared" si="9"/>
        <v>80</v>
      </c>
      <c r="F31" s="3">
        <f t="shared" si="7"/>
        <v>80</v>
      </c>
      <c r="G31" s="3">
        <f t="shared" si="7"/>
        <v>170</v>
      </c>
      <c r="H31" s="2">
        <f t="shared" si="10"/>
        <v>271.52589999999998</v>
      </c>
      <c r="I31" s="2">
        <f t="shared" si="8"/>
        <v>162.91553333333334</v>
      </c>
      <c r="J31" s="2">
        <f t="shared" si="8"/>
        <v>230.79702916666665</v>
      </c>
      <c r="K31" s="18">
        <f t="shared" si="11"/>
        <v>665.23846249999997</v>
      </c>
    </row>
    <row r="32" spans="1:23" x14ac:dyDescent="0.25">
      <c r="A32" s="16" t="s">
        <v>27</v>
      </c>
      <c r="B32" s="10">
        <f t="shared" si="6"/>
        <v>90</v>
      </c>
      <c r="C32" s="10">
        <f t="shared" si="6"/>
        <v>80</v>
      </c>
      <c r="D32" s="10">
        <f t="shared" si="6"/>
        <v>56</v>
      </c>
      <c r="E32" s="7">
        <f t="shared" si="9"/>
        <v>90</v>
      </c>
      <c r="F32" s="7">
        <f t="shared" si="7"/>
        <v>80</v>
      </c>
      <c r="G32" s="7">
        <f t="shared" si="7"/>
        <v>170</v>
      </c>
      <c r="H32" s="6">
        <f t="shared" si="10"/>
        <v>305.46663749999999</v>
      </c>
      <c r="I32" s="6">
        <f t="shared" si="8"/>
        <v>162.91553333333334</v>
      </c>
      <c r="J32" s="6">
        <f t="shared" si="8"/>
        <v>230.79702916666665</v>
      </c>
      <c r="K32" s="19">
        <f t="shared" si="11"/>
        <v>699.17920000000004</v>
      </c>
    </row>
    <row r="33" spans="1:21" x14ac:dyDescent="0.25">
      <c r="A33" s="15" t="s">
        <v>1</v>
      </c>
      <c r="B33" s="14">
        <f t="shared" si="6"/>
        <v>55</v>
      </c>
      <c r="C33" s="14">
        <f t="shared" si="6"/>
        <v>55</v>
      </c>
      <c r="D33" s="14">
        <f t="shared" si="6"/>
        <v>55</v>
      </c>
      <c r="E33" s="3">
        <f t="shared" si="9"/>
        <v>76.904741703355924</v>
      </c>
      <c r="F33" s="3">
        <f t="shared" si="7"/>
        <v>76.904741703355924</v>
      </c>
      <c r="G33" s="3">
        <f t="shared" si="7"/>
        <v>170</v>
      </c>
      <c r="H33" s="2">
        <f t="shared" si="10"/>
        <v>261.02036506589064</v>
      </c>
      <c r="I33" s="2">
        <f t="shared" si="8"/>
        <v>156.61221263080589</v>
      </c>
      <c r="J33" s="2">
        <f t="shared" si="8"/>
        <v>230.79702916666665</v>
      </c>
      <c r="K33" s="18">
        <f t="shared" si="11"/>
        <v>648.42960686336323</v>
      </c>
    </row>
    <row r="34" spans="1:21" s="4" customFormat="1" x14ac:dyDescent="0.25">
      <c r="A34" s="16" t="s">
        <v>2</v>
      </c>
      <c r="B34" s="10">
        <f t="shared" si="6"/>
        <v>31</v>
      </c>
      <c r="C34" s="10">
        <f t="shared" si="6"/>
        <v>30</v>
      </c>
      <c r="D34" s="10">
        <f t="shared" si="6"/>
        <v>58</v>
      </c>
      <c r="E34" s="7">
        <f>+IF(B34&lt;(0.85*B$26),0.85*B$26,IF(B34&gt;(1.05*B$26),B34+2*(B34-1.05*B$26),B34))</f>
        <v>76.904741703355924</v>
      </c>
      <c r="F34" s="7">
        <f t="shared" si="7"/>
        <v>76.904741703355924</v>
      </c>
      <c r="G34" s="7">
        <f t="shared" si="7"/>
        <v>170</v>
      </c>
      <c r="H34" s="6">
        <f t="shared" si="10"/>
        <v>261.02036506589064</v>
      </c>
      <c r="I34" s="6">
        <f t="shared" si="8"/>
        <v>156.61221263080589</v>
      </c>
      <c r="J34" s="6">
        <f t="shared" si="8"/>
        <v>230.79702916666665</v>
      </c>
      <c r="K34" s="19">
        <f t="shared" si="11"/>
        <v>648.42960686336323</v>
      </c>
      <c r="O34"/>
      <c r="P34"/>
      <c r="Q34"/>
      <c r="S34"/>
      <c r="T34"/>
      <c r="U34"/>
    </row>
    <row r="35" spans="1:21" x14ac:dyDescent="0.25">
      <c r="A35" s="15" t="s">
        <v>28</v>
      </c>
      <c r="B35" s="14">
        <f t="shared" si="6"/>
        <v>75</v>
      </c>
      <c r="C35" s="14">
        <f t="shared" si="6"/>
        <v>85</v>
      </c>
      <c r="D35" s="14">
        <f t="shared" si="6"/>
        <v>60</v>
      </c>
      <c r="E35" s="3">
        <f t="shared" si="9"/>
        <v>76.904741703355924</v>
      </c>
      <c r="F35" s="3">
        <f t="shared" si="7"/>
        <v>85</v>
      </c>
      <c r="G35" s="3">
        <f t="shared" si="7"/>
        <v>170</v>
      </c>
      <c r="H35" s="2">
        <f t="shared" si="10"/>
        <v>261.02036506589064</v>
      </c>
      <c r="I35" s="2">
        <f t="shared" si="8"/>
        <v>173.09775416666665</v>
      </c>
      <c r="J35" s="2">
        <f t="shared" si="8"/>
        <v>230.79702916666665</v>
      </c>
      <c r="K35" s="18">
        <f t="shared" si="11"/>
        <v>664.91514839922399</v>
      </c>
    </row>
    <row r="36" spans="1:21" x14ac:dyDescent="0.25">
      <c r="A36" s="16" t="s">
        <v>29</v>
      </c>
      <c r="B36" s="10">
        <f t="shared" si="6"/>
        <v>81</v>
      </c>
      <c r="C36" s="10">
        <f t="shared" si="6"/>
        <v>85</v>
      </c>
      <c r="D36" s="10">
        <f t="shared" si="6"/>
        <v>65</v>
      </c>
      <c r="E36" s="7">
        <f t="shared" si="9"/>
        <v>81</v>
      </c>
      <c r="F36" s="7">
        <f t="shared" si="7"/>
        <v>85</v>
      </c>
      <c r="G36" s="7">
        <f t="shared" si="7"/>
        <v>170</v>
      </c>
      <c r="H36" s="6">
        <f t="shared" si="10"/>
        <v>274.91997375</v>
      </c>
      <c r="I36" s="6">
        <f t="shared" si="8"/>
        <v>173.09775416666665</v>
      </c>
      <c r="J36" s="6">
        <f t="shared" si="8"/>
        <v>230.79702916666665</v>
      </c>
      <c r="K36" s="19">
        <f t="shared" si="11"/>
        <v>678.81475708333335</v>
      </c>
    </row>
    <row r="37" spans="1:21" x14ac:dyDescent="0.25">
      <c r="A37" s="15" t="s">
        <v>30</v>
      </c>
      <c r="B37" s="14">
        <f t="shared" si="6"/>
        <v>78</v>
      </c>
      <c r="C37" s="14">
        <f t="shared" si="6"/>
        <v>85</v>
      </c>
      <c r="D37" s="14">
        <f t="shared" si="6"/>
        <v>85</v>
      </c>
      <c r="E37" s="3">
        <f t="shared" si="9"/>
        <v>78</v>
      </c>
      <c r="F37" s="3">
        <f t="shared" si="7"/>
        <v>85</v>
      </c>
      <c r="G37" s="3">
        <f t="shared" si="7"/>
        <v>170</v>
      </c>
      <c r="H37" s="2">
        <f t="shared" si="10"/>
        <v>264.7377525</v>
      </c>
      <c r="I37" s="2">
        <f t="shared" si="8"/>
        <v>173.09775416666665</v>
      </c>
      <c r="J37" s="2">
        <f t="shared" si="8"/>
        <v>230.79702916666665</v>
      </c>
      <c r="K37" s="18">
        <f t="shared" si="11"/>
        <v>668.63253583333335</v>
      </c>
    </row>
    <row r="38" spans="1:21" x14ac:dyDescent="0.25">
      <c r="A38" s="16" t="s">
        <v>31</v>
      </c>
      <c r="B38" s="10">
        <f t="shared" si="6"/>
        <v>95</v>
      </c>
      <c r="C38" s="10">
        <f t="shared" si="6"/>
        <v>60</v>
      </c>
      <c r="D38" s="10">
        <f t="shared" si="6"/>
        <v>75</v>
      </c>
      <c r="E38" s="7">
        <f t="shared" si="9"/>
        <v>95.000049909355965</v>
      </c>
      <c r="F38" s="7">
        <f t="shared" si="7"/>
        <v>76.904741703355924</v>
      </c>
      <c r="G38" s="7">
        <f t="shared" si="7"/>
        <v>170</v>
      </c>
      <c r="H38" s="6">
        <f t="shared" si="10"/>
        <v>322.43717564603497</v>
      </c>
      <c r="I38" s="6">
        <f t="shared" si="8"/>
        <v>156.61221263080589</v>
      </c>
      <c r="J38" s="6">
        <f t="shared" si="8"/>
        <v>230.79702916666665</v>
      </c>
      <c r="K38" s="19">
        <f t="shared" si="11"/>
        <v>709.84641744350756</v>
      </c>
    </row>
    <row r="39" spans="1:21" x14ac:dyDescent="0.25">
      <c r="A39" s="15" t="s">
        <v>32</v>
      </c>
      <c r="B39" s="14">
        <f t="shared" si="6"/>
        <v>94</v>
      </c>
      <c r="C39" s="14">
        <f t="shared" si="6"/>
        <v>92</v>
      </c>
      <c r="D39" s="14">
        <f t="shared" si="6"/>
        <v>55</v>
      </c>
      <c r="E39" s="3">
        <f t="shared" si="9"/>
        <v>94</v>
      </c>
      <c r="F39" s="3">
        <f t="shared" si="7"/>
        <v>92</v>
      </c>
      <c r="G39" s="3">
        <f t="shared" si="7"/>
        <v>170</v>
      </c>
      <c r="H39" s="2">
        <f t="shared" si="10"/>
        <v>319.04293249999995</v>
      </c>
      <c r="I39" s="2">
        <f t="shared" si="8"/>
        <v>187.35286333333332</v>
      </c>
      <c r="J39" s="2">
        <f t="shared" si="8"/>
        <v>230.79702916666665</v>
      </c>
      <c r="K39" s="18">
        <f t="shared" si="11"/>
        <v>737.19282499999997</v>
      </c>
    </row>
    <row r="40" spans="1:21" x14ac:dyDescent="0.25">
      <c r="A40" s="16" t="s">
        <v>33</v>
      </c>
      <c r="B40" s="10">
        <f t="shared" si="6"/>
        <v>95</v>
      </c>
      <c r="C40" s="10">
        <f t="shared" si="6"/>
        <v>95</v>
      </c>
      <c r="D40" s="10">
        <f t="shared" si="6"/>
        <v>65</v>
      </c>
      <c r="E40" s="7">
        <f t="shared" si="9"/>
        <v>95.000049909355965</v>
      </c>
      <c r="F40" s="7">
        <f t="shared" si="7"/>
        <v>95.000049909355965</v>
      </c>
      <c r="G40" s="7">
        <f t="shared" si="7"/>
        <v>170</v>
      </c>
      <c r="H40" s="6">
        <f t="shared" si="10"/>
        <v>322.43717564603497</v>
      </c>
      <c r="I40" s="6">
        <f t="shared" si="8"/>
        <v>193.46229747095015</v>
      </c>
      <c r="J40" s="6">
        <f t="shared" si="8"/>
        <v>230.79702916666665</v>
      </c>
      <c r="K40" s="19">
        <f t="shared" si="11"/>
        <v>746.69650228365174</v>
      </c>
    </row>
    <row r="41" spans="1:21" ht="21" x14ac:dyDescent="0.35">
      <c r="A41" s="4"/>
      <c r="B41" s="5"/>
      <c r="C41" s="5"/>
      <c r="D41" s="5"/>
      <c r="E41" s="7"/>
      <c r="F41" s="7"/>
      <c r="G41" s="7"/>
      <c r="H41" s="11"/>
      <c r="I41" s="11"/>
      <c r="J41" s="20" t="s">
        <v>24</v>
      </c>
      <c r="K41" s="21">
        <f>SUBTOTAL(109,Taula230[CP '[€/mes']])</f>
        <v>8196.1710440023326</v>
      </c>
    </row>
    <row r="42" spans="1:21" x14ac:dyDescent="0.25">
      <c r="A42" s="4"/>
      <c r="B42" s="4"/>
      <c r="C42" s="4"/>
      <c r="D42" s="4"/>
      <c r="E42" s="4"/>
      <c r="F42" s="4"/>
      <c r="G42" s="4"/>
      <c r="H42" s="4"/>
      <c r="I42" s="4"/>
      <c r="J42" s="4"/>
      <c r="K42" s="4"/>
    </row>
    <row r="43" spans="1:21" x14ac:dyDescent="0.25">
      <c r="A43" s="4"/>
      <c r="B43" s="4"/>
      <c r="C43" s="4"/>
      <c r="D43" s="4"/>
      <c r="E43" s="4"/>
      <c r="F43" s="4"/>
      <c r="G43" s="4"/>
      <c r="H43" s="4"/>
      <c r="I43" s="4"/>
      <c r="J43" s="4"/>
      <c r="K43" s="4"/>
    </row>
    <row r="44" spans="1:21" ht="23.25" x14ac:dyDescent="0.35">
      <c r="A44" s="4"/>
      <c r="B44" s="4"/>
      <c r="C44" s="4"/>
      <c r="D44" s="4"/>
      <c r="E44" s="4"/>
      <c r="F44" s="4"/>
      <c r="G44" s="4"/>
      <c r="H44" s="4"/>
      <c r="I44" s="4"/>
      <c r="J44" s="24" t="s">
        <v>34</v>
      </c>
      <c r="K44" s="25">
        <f>K20-K41</f>
        <v>438.69205974766555</v>
      </c>
    </row>
    <row r="45" spans="1:21" ht="23.25" x14ac:dyDescent="0.35">
      <c r="A45" s="4"/>
      <c r="B45" s="4"/>
      <c r="C45" s="4"/>
      <c r="D45" s="4"/>
      <c r="E45" s="4"/>
      <c r="F45" s="4"/>
      <c r="G45" s="4"/>
      <c r="H45" s="4"/>
      <c r="I45" s="4"/>
      <c r="J45" s="26"/>
      <c r="K45" s="26"/>
    </row>
    <row r="46" spans="1:21" ht="23.25" x14ac:dyDescent="0.35">
      <c r="A46" s="4"/>
      <c r="B46" s="4"/>
      <c r="C46" s="4"/>
      <c r="D46" s="4"/>
      <c r="E46" s="4"/>
      <c r="F46" s="4"/>
      <c r="G46" s="4"/>
      <c r="H46" s="4"/>
      <c r="I46" s="4"/>
      <c r="J46" s="24" t="s">
        <v>35</v>
      </c>
      <c r="K46" s="25">
        <v>-9.0447600000000001</v>
      </c>
    </row>
    <row r="47" spans="1:21" ht="23.25" x14ac:dyDescent="0.35">
      <c r="A47" s="4"/>
      <c r="B47" s="4"/>
      <c r="C47" s="4"/>
      <c r="D47" s="4"/>
      <c r="E47" s="4"/>
      <c r="F47" s="4"/>
      <c r="G47" s="4"/>
      <c r="H47" s="4"/>
      <c r="I47" s="4"/>
      <c r="J47" s="24" t="s">
        <v>38</v>
      </c>
      <c r="K47" s="99">
        <f>IF(OR((Taula432[PCO1]-Taula331[PC1])&gt;0,(Taula432[PCO2]-Taula331[PC2])&gt;0,(Taula432[PCO3]-Taula331[PC3])&gt;0),-MAX((Taula432[PCO1]-Taula331[PC1]),(Taula432[PCO2]-Taula331[PC2]),(Taula432[PCO3]-Taula331[PC3]))*17.374714,0)</f>
        <v>0</v>
      </c>
      <c r="O47" s="54"/>
      <c r="P47" s="54"/>
      <c r="Q47" s="54"/>
    </row>
    <row r="48" spans="1:21" ht="23.25" x14ac:dyDescent="0.35">
      <c r="A48" s="4"/>
      <c r="B48" s="4"/>
      <c r="C48" s="4"/>
      <c r="D48" s="4"/>
      <c r="E48" s="4"/>
      <c r="F48" s="4"/>
      <c r="G48" s="4"/>
      <c r="H48" s="4"/>
      <c r="I48" s="4"/>
      <c r="J48" s="24" t="s">
        <v>39</v>
      </c>
      <c r="K48" s="99">
        <f>IF(OR((Taula432[PCO1]-Taula331[PC1])&gt;0,(Taula432[PCO2]-Taula331[PC2])&gt;0,(Taula432[PCO3]-Taula331[PC3])&gt;0),-MAX((Taula432[PCO1]-Taula331[PC1]),(Taula432[PCO2]-Taula331[PC2]),(Taula432[PCO3]-Taula331[PC3]))*19.703137,0)</f>
        <v>0</v>
      </c>
    </row>
    <row r="49" spans="1:11" ht="23.25" x14ac:dyDescent="0.35">
      <c r="A49" s="4"/>
      <c r="B49" s="4"/>
      <c r="C49" s="4"/>
      <c r="D49" s="4"/>
      <c r="E49" s="4"/>
      <c r="F49" s="4"/>
      <c r="G49" s="4"/>
      <c r="H49" s="4"/>
      <c r="I49" s="4"/>
      <c r="J49" s="24"/>
      <c r="K49" s="27"/>
    </row>
    <row r="50" spans="1:11" ht="23.25" x14ac:dyDescent="0.35">
      <c r="A50" s="4"/>
      <c r="B50" s="4"/>
      <c r="C50" s="4"/>
      <c r="D50" s="4"/>
      <c r="E50" s="4"/>
      <c r="F50" s="4"/>
      <c r="G50" s="4"/>
      <c r="H50" s="4"/>
      <c r="I50" s="4"/>
      <c r="J50" s="24" t="s">
        <v>36</v>
      </c>
      <c r="K50" s="28" t="s">
        <v>37</v>
      </c>
    </row>
    <row r="51" spans="1:11" x14ac:dyDescent="0.25">
      <c r="A51" s="4"/>
      <c r="B51" s="4"/>
      <c r="C51" s="4"/>
      <c r="D51" s="4"/>
      <c r="E51" s="4"/>
      <c r="F51" s="4"/>
      <c r="G51" s="4"/>
      <c r="H51" s="4"/>
      <c r="I51" s="4"/>
      <c r="J51" s="4"/>
      <c r="K51" s="4"/>
    </row>
    <row r="52" spans="1:11" ht="21" x14ac:dyDescent="0.25">
      <c r="A52" s="4"/>
      <c r="B52" s="4"/>
      <c r="C52" s="4"/>
      <c r="D52" s="4"/>
      <c r="E52" s="4"/>
      <c r="F52" s="4"/>
      <c r="G52" s="4"/>
      <c r="H52" s="4"/>
      <c r="I52" s="4"/>
      <c r="J52" s="13"/>
      <c r="K52" s="12"/>
    </row>
  </sheetData>
  <conditionalFormatting sqref="K8:K19 K29:K40">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5"/>
  <dimension ref="A1:W52"/>
  <sheetViews>
    <sheetView zoomScale="85" zoomScaleNormal="85" workbookViewId="0">
      <selection activeCell="G42" sqref="G42"/>
    </sheetView>
  </sheetViews>
  <sheetFormatPr defaultRowHeight="15" x14ac:dyDescent="0.25"/>
  <cols>
    <col min="1" max="1" width="12.85546875" customWidth="1"/>
    <col min="2" max="10" width="13.85546875" customWidth="1"/>
    <col min="11" max="11" width="17.5703125" customWidth="1"/>
    <col min="15" max="19" width="10" customWidth="1"/>
    <col min="20" max="20" width="11.5703125" bestFit="1" customWidth="1"/>
    <col min="22" max="22" width="9.5703125" bestFit="1" customWidth="1"/>
  </cols>
  <sheetData>
    <row r="1" spans="1:22" x14ac:dyDescent="0.25">
      <c r="A1" s="4"/>
      <c r="B1" s="4"/>
      <c r="C1" s="4"/>
      <c r="D1" s="4"/>
      <c r="E1" s="4"/>
      <c r="F1" s="4"/>
      <c r="G1" s="4"/>
      <c r="H1" s="4"/>
      <c r="I1" s="4"/>
      <c r="J1" s="4"/>
      <c r="K1" s="4"/>
    </row>
    <row r="2" spans="1:22" ht="23.25" x14ac:dyDescent="0.35">
      <c r="A2" s="17" t="s">
        <v>80</v>
      </c>
      <c r="B2" s="4"/>
      <c r="C2" s="4"/>
      <c r="D2" s="4"/>
      <c r="E2" s="4"/>
      <c r="F2" s="4"/>
      <c r="G2" s="4"/>
      <c r="H2" s="4"/>
      <c r="I2" s="4"/>
      <c r="J2" s="4"/>
      <c r="K2" s="4"/>
    </row>
    <row r="3" spans="1:22" x14ac:dyDescent="0.25">
      <c r="A3" s="4"/>
      <c r="B3" s="4"/>
      <c r="C3" s="4"/>
      <c r="D3" s="4"/>
      <c r="E3" s="4"/>
      <c r="F3" s="4"/>
      <c r="G3" s="4"/>
      <c r="H3" s="4"/>
      <c r="I3" s="4"/>
      <c r="J3" s="4"/>
      <c r="K3" s="4"/>
    </row>
    <row r="4" spans="1:22" x14ac:dyDescent="0.25">
      <c r="A4" s="4"/>
      <c r="B4" s="1" t="s">
        <v>3</v>
      </c>
      <c r="C4" s="1" t="s">
        <v>4</v>
      </c>
      <c r="D4" s="1" t="s">
        <v>5</v>
      </c>
      <c r="E4" s="4"/>
      <c r="F4" s="4"/>
      <c r="G4" s="4"/>
      <c r="H4" s="1" t="s">
        <v>10</v>
      </c>
      <c r="I4" s="1" t="s">
        <v>11</v>
      </c>
      <c r="J4" s="1" t="s">
        <v>12</v>
      </c>
      <c r="K4" s="4"/>
      <c r="U4" s="71"/>
    </row>
    <row r="5" spans="1:22" ht="21" x14ac:dyDescent="0.35">
      <c r="A5" s="4"/>
      <c r="B5" s="22">
        <f>+'Entrada de dades'!C11</f>
        <v>100</v>
      </c>
      <c r="C5" s="22">
        <f>+'Entrada de dades'!D11</f>
        <v>110</v>
      </c>
      <c r="D5" s="22">
        <f>+'Entrada de dades'!E11</f>
        <v>200</v>
      </c>
      <c r="E5" s="4"/>
      <c r="F5" s="4"/>
      <c r="G5" s="4"/>
      <c r="H5" s="1">
        <f>'Entrada de dades'!D2</f>
        <v>40.728884999999998</v>
      </c>
      <c r="I5" s="1">
        <f>'Entrada de dades'!E2</f>
        <v>24.437329999999999</v>
      </c>
      <c r="J5" s="1">
        <f>'Entrada de dades'!F2</f>
        <v>16.291554999999999</v>
      </c>
      <c r="K5" s="4"/>
      <c r="O5" s="29"/>
      <c r="P5" s="29"/>
      <c r="Q5" s="29"/>
      <c r="R5" s="29"/>
      <c r="S5" s="29"/>
      <c r="T5" s="29"/>
      <c r="U5" s="71"/>
    </row>
    <row r="6" spans="1:22" x14ac:dyDescent="0.25">
      <c r="A6" s="4"/>
      <c r="B6" s="5"/>
      <c r="C6" s="5"/>
      <c r="D6" s="5"/>
      <c r="E6" s="4"/>
      <c r="F6" s="4"/>
      <c r="G6" s="4"/>
      <c r="H6" s="4"/>
      <c r="I6" s="4"/>
      <c r="J6" s="4"/>
      <c r="K6" s="4"/>
      <c r="V6" s="29"/>
    </row>
    <row r="7" spans="1:22" x14ac:dyDescent="0.25">
      <c r="A7" s="8" t="s">
        <v>9</v>
      </c>
      <c r="B7" s="9" t="s">
        <v>22</v>
      </c>
      <c r="C7" s="9" t="s">
        <v>21</v>
      </c>
      <c r="D7" s="9" t="s">
        <v>20</v>
      </c>
      <c r="E7" s="9" t="s">
        <v>19</v>
      </c>
      <c r="F7" s="9" t="s">
        <v>18</v>
      </c>
      <c r="G7" s="9" t="s">
        <v>17</v>
      </c>
      <c r="H7" s="9" t="s">
        <v>13</v>
      </c>
      <c r="I7" s="9" t="s">
        <v>14</v>
      </c>
      <c r="J7" s="9" t="s">
        <v>15</v>
      </c>
      <c r="K7" s="9" t="s">
        <v>16</v>
      </c>
    </row>
    <row r="8" spans="1:22" x14ac:dyDescent="0.25">
      <c r="A8" s="15" t="s">
        <v>25</v>
      </c>
      <c r="B8" s="14">
        <f>+'Entrada de dades'!C16</f>
        <v>82</v>
      </c>
      <c r="C8" s="14">
        <f>+'Entrada de dades'!D16</f>
        <v>81</v>
      </c>
      <c r="D8" s="14">
        <f>+'Entrada de dades'!E16</f>
        <v>72</v>
      </c>
      <c r="E8" s="3">
        <f>+IF(B8&lt;(0.85*B$5),0.85*B$5,IF(B8&gt;(1.05*B$5),B8+2*(B8-1.05*B$5),B8))</f>
        <v>85</v>
      </c>
      <c r="F8" s="3">
        <f t="shared" ref="F8:G19" si="0">+IF(C8&lt;(0.85*C$5),0.85*C$5,IF(C8&gt;(1.05*C$5),C8+2*(C8-1.05*C$5),C8))</f>
        <v>93.5</v>
      </c>
      <c r="G8" s="3">
        <f>+IF(D8&lt;(0.85*D$5),0.85*D$5,IF(D8&gt;(1.05*D$5),D8+2*(D8-1.05*D$5),D8))</f>
        <v>170</v>
      </c>
      <c r="H8" s="2">
        <f>+H$5*E8/12</f>
        <v>288.49626874999996</v>
      </c>
      <c r="I8" s="2">
        <f t="shared" ref="I8:J19" si="1">+I$5*F8/12</f>
        <v>190.40752958333334</v>
      </c>
      <c r="J8" s="2">
        <f t="shared" si="1"/>
        <v>230.79702916666665</v>
      </c>
      <c r="K8" s="18">
        <f>SUM(H8:J8)</f>
        <v>709.70082749999995</v>
      </c>
    </row>
    <row r="9" spans="1:22" x14ac:dyDescent="0.25">
      <c r="A9" s="16" t="s">
        <v>26</v>
      </c>
      <c r="B9" s="10">
        <f>+'Entrada de dades'!C17</f>
        <v>20</v>
      </c>
      <c r="C9" s="10">
        <f>+'Entrada de dades'!D17</f>
        <v>80</v>
      </c>
      <c r="D9" s="10">
        <f>+'Entrada de dades'!E17</f>
        <v>70</v>
      </c>
      <c r="E9" s="7">
        <f t="shared" ref="E9:E19" si="2">+IF(B9&lt;(0.85*B$5),0.85*B$5,IF(B9&gt;(1.05*B$5),B9+2*(B9-1.05*B$5),B9))</f>
        <v>85</v>
      </c>
      <c r="F9" s="7">
        <f t="shared" si="0"/>
        <v>93.5</v>
      </c>
      <c r="G9" s="7">
        <f t="shared" si="0"/>
        <v>170</v>
      </c>
      <c r="H9" s="6">
        <f t="shared" ref="H9:H19" si="3">+H$5*E9/12</f>
        <v>288.49626874999996</v>
      </c>
      <c r="I9" s="6">
        <f t="shared" si="1"/>
        <v>190.40752958333334</v>
      </c>
      <c r="J9" s="6">
        <f t="shared" si="1"/>
        <v>230.79702916666665</v>
      </c>
      <c r="K9" s="19">
        <f t="shared" ref="K9:K18" si="4">SUM(H9:J9)</f>
        <v>709.70082749999995</v>
      </c>
    </row>
    <row r="10" spans="1:22" x14ac:dyDescent="0.25">
      <c r="A10" s="15" t="s">
        <v>0</v>
      </c>
      <c r="B10" s="14">
        <f>+'Entrada de dades'!C18</f>
        <v>80</v>
      </c>
      <c r="C10" s="14">
        <f>+'Entrada de dades'!D18</f>
        <v>80</v>
      </c>
      <c r="D10" s="14">
        <f>+'Entrada de dades'!E18</f>
        <v>56</v>
      </c>
      <c r="E10" s="3">
        <f t="shared" si="2"/>
        <v>85</v>
      </c>
      <c r="F10" s="3">
        <f t="shared" si="0"/>
        <v>93.5</v>
      </c>
      <c r="G10" s="3">
        <f t="shared" si="0"/>
        <v>170</v>
      </c>
      <c r="H10" s="2">
        <f t="shared" si="3"/>
        <v>288.49626874999996</v>
      </c>
      <c r="I10" s="2">
        <f t="shared" si="1"/>
        <v>190.40752958333334</v>
      </c>
      <c r="J10" s="2">
        <f t="shared" si="1"/>
        <v>230.79702916666665</v>
      </c>
      <c r="K10" s="18">
        <f t="shared" si="4"/>
        <v>709.70082749999995</v>
      </c>
    </row>
    <row r="11" spans="1:22" x14ac:dyDescent="0.25">
      <c r="A11" s="16" t="s">
        <v>27</v>
      </c>
      <c r="B11" s="10">
        <f>+'Entrada de dades'!C19</f>
        <v>90</v>
      </c>
      <c r="C11" s="10">
        <f>+'Entrada de dades'!D19</f>
        <v>80</v>
      </c>
      <c r="D11" s="10">
        <f>+'Entrada de dades'!E19</f>
        <v>56</v>
      </c>
      <c r="E11" s="7">
        <f t="shared" si="2"/>
        <v>90</v>
      </c>
      <c r="F11" s="7">
        <f t="shared" si="0"/>
        <v>93.5</v>
      </c>
      <c r="G11" s="7">
        <f t="shared" si="0"/>
        <v>170</v>
      </c>
      <c r="H11" s="6">
        <f t="shared" si="3"/>
        <v>305.46663749999999</v>
      </c>
      <c r="I11" s="6">
        <f t="shared" si="1"/>
        <v>190.40752958333334</v>
      </c>
      <c r="J11" s="6">
        <f t="shared" si="1"/>
        <v>230.79702916666665</v>
      </c>
      <c r="K11" s="19">
        <f t="shared" si="4"/>
        <v>726.67119624999998</v>
      </c>
    </row>
    <row r="12" spans="1:22" x14ac:dyDescent="0.25">
      <c r="A12" s="15" t="s">
        <v>1</v>
      </c>
      <c r="B12" s="14">
        <f>+'Entrada de dades'!C20</f>
        <v>55</v>
      </c>
      <c r="C12" s="14">
        <f>+'Entrada de dades'!D20</f>
        <v>55</v>
      </c>
      <c r="D12" s="14">
        <f>+'Entrada de dades'!E20</f>
        <v>55</v>
      </c>
      <c r="E12" s="3">
        <f t="shared" si="2"/>
        <v>85</v>
      </c>
      <c r="F12" s="3">
        <f t="shared" si="0"/>
        <v>93.5</v>
      </c>
      <c r="G12" s="3">
        <f t="shared" si="0"/>
        <v>170</v>
      </c>
      <c r="H12" s="2">
        <f t="shared" si="3"/>
        <v>288.49626874999996</v>
      </c>
      <c r="I12" s="2">
        <f t="shared" si="1"/>
        <v>190.40752958333334</v>
      </c>
      <c r="J12" s="2">
        <f t="shared" si="1"/>
        <v>230.79702916666665</v>
      </c>
      <c r="K12" s="18">
        <f t="shared" si="4"/>
        <v>709.70082749999995</v>
      </c>
    </row>
    <row r="13" spans="1:22" x14ac:dyDescent="0.25">
      <c r="A13" s="16" t="s">
        <v>2</v>
      </c>
      <c r="B13" s="10">
        <f>+'Entrada de dades'!C21</f>
        <v>31</v>
      </c>
      <c r="C13" s="10">
        <f>+'Entrada de dades'!D21</f>
        <v>30</v>
      </c>
      <c r="D13" s="10">
        <f>+'Entrada de dades'!E21</f>
        <v>58</v>
      </c>
      <c r="E13" s="7">
        <f t="shared" si="2"/>
        <v>85</v>
      </c>
      <c r="F13" s="7">
        <f t="shared" si="0"/>
        <v>93.5</v>
      </c>
      <c r="G13" s="7">
        <f t="shared" si="0"/>
        <v>170</v>
      </c>
      <c r="H13" s="6">
        <f t="shared" si="3"/>
        <v>288.49626874999996</v>
      </c>
      <c r="I13" s="6">
        <f t="shared" si="1"/>
        <v>190.40752958333334</v>
      </c>
      <c r="J13" s="6">
        <f t="shared" si="1"/>
        <v>230.79702916666665</v>
      </c>
      <c r="K13" s="19">
        <f t="shared" si="4"/>
        <v>709.70082749999995</v>
      </c>
    </row>
    <row r="14" spans="1:22" x14ac:dyDescent="0.25">
      <c r="A14" s="15" t="s">
        <v>28</v>
      </c>
      <c r="B14" s="14">
        <f>+'Entrada de dades'!C22</f>
        <v>75</v>
      </c>
      <c r="C14" s="14">
        <f>+'Entrada de dades'!D22</f>
        <v>85</v>
      </c>
      <c r="D14" s="14">
        <f>+'Entrada de dades'!E22</f>
        <v>60</v>
      </c>
      <c r="E14" s="3">
        <f t="shared" si="2"/>
        <v>85</v>
      </c>
      <c r="F14" s="3">
        <f t="shared" si="0"/>
        <v>93.5</v>
      </c>
      <c r="G14" s="3">
        <f t="shared" si="0"/>
        <v>170</v>
      </c>
      <c r="H14" s="2">
        <f t="shared" si="3"/>
        <v>288.49626874999996</v>
      </c>
      <c r="I14" s="2">
        <f t="shared" si="1"/>
        <v>190.40752958333334</v>
      </c>
      <c r="J14" s="2">
        <f t="shared" si="1"/>
        <v>230.79702916666665</v>
      </c>
      <c r="K14" s="18">
        <f t="shared" si="4"/>
        <v>709.70082749999995</v>
      </c>
    </row>
    <row r="15" spans="1:22" x14ac:dyDescent="0.25">
      <c r="A15" s="16" t="s">
        <v>29</v>
      </c>
      <c r="B15" s="10">
        <f>+'Entrada de dades'!C23</f>
        <v>81</v>
      </c>
      <c r="C15" s="10">
        <f>+'Entrada de dades'!D23</f>
        <v>85</v>
      </c>
      <c r="D15" s="10">
        <f>+'Entrada de dades'!E23</f>
        <v>65</v>
      </c>
      <c r="E15" s="7">
        <f t="shared" si="2"/>
        <v>85</v>
      </c>
      <c r="F15" s="7">
        <f t="shared" si="0"/>
        <v>93.5</v>
      </c>
      <c r="G15" s="7">
        <f t="shared" si="0"/>
        <v>170</v>
      </c>
      <c r="H15" s="6">
        <f t="shared" si="3"/>
        <v>288.49626874999996</v>
      </c>
      <c r="I15" s="6">
        <f t="shared" si="1"/>
        <v>190.40752958333334</v>
      </c>
      <c r="J15" s="6">
        <f t="shared" si="1"/>
        <v>230.79702916666665</v>
      </c>
      <c r="K15" s="19">
        <f t="shared" si="4"/>
        <v>709.70082749999995</v>
      </c>
    </row>
    <row r="16" spans="1:22" x14ac:dyDescent="0.25">
      <c r="A16" s="15" t="s">
        <v>30</v>
      </c>
      <c r="B16" s="14">
        <f>+'Entrada de dades'!C24</f>
        <v>78</v>
      </c>
      <c r="C16" s="14">
        <f>+'Entrada de dades'!D24</f>
        <v>85</v>
      </c>
      <c r="D16" s="14">
        <f>+'Entrada de dades'!E24</f>
        <v>85</v>
      </c>
      <c r="E16" s="3">
        <f t="shared" si="2"/>
        <v>85</v>
      </c>
      <c r="F16" s="3">
        <f t="shared" si="0"/>
        <v>93.5</v>
      </c>
      <c r="G16" s="3">
        <f t="shared" si="0"/>
        <v>170</v>
      </c>
      <c r="H16" s="2">
        <f t="shared" si="3"/>
        <v>288.49626874999996</v>
      </c>
      <c r="I16" s="2">
        <f t="shared" si="1"/>
        <v>190.40752958333334</v>
      </c>
      <c r="J16" s="2">
        <f t="shared" si="1"/>
        <v>230.79702916666665</v>
      </c>
      <c r="K16" s="18">
        <f t="shared" si="4"/>
        <v>709.70082749999995</v>
      </c>
    </row>
    <row r="17" spans="1:23" x14ac:dyDescent="0.25">
      <c r="A17" s="16" t="s">
        <v>31</v>
      </c>
      <c r="B17" s="10">
        <f>+'Entrada de dades'!C25</f>
        <v>95</v>
      </c>
      <c r="C17" s="10">
        <f>+'Entrada de dades'!D25</f>
        <v>60</v>
      </c>
      <c r="D17" s="10">
        <f>+'Entrada de dades'!E25</f>
        <v>75</v>
      </c>
      <c r="E17" s="7">
        <f t="shared" si="2"/>
        <v>95</v>
      </c>
      <c r="F17" s="7">
        <f t="shared" si="0"/>
        <v>93.5</v>
      </c>
      <c r="G17" s="7">
        <f t="shared" si="0"/>
        <v>170</v>
      </c>
      <c r="H17" s="6">
        <f t="shared" si="3"/>
        <v>322.43700624999997</v>
      </c>
      <c r="I17" s="6">
        <f t="shared" si="1"/>
        <v>190.40752958333334</v>
      </c>
      <c r="J17" s="6">
        <f t="shared" si="1"/>
        <v>230.79702916666665</v>
      </c>
      <c r="K17" s="19">
        <f t="shared" si="4"/>
        <v>743.64156500000001</v>
      </c>
    </row>
    <row r="18" spans="1:23" x14ac:dyDescent="0.25">
      <c r="A18" s="15" t="s">
        <v>32</v>
      </c>
      <c r="B18" s="14">
        <f>+'Entrada de dades'!C26</f>
        <v>94</v>
      </c>
      <c r="C18" s="14">
        <f>+'Entrada de dades'!D26</f>
        <v>92</v>
      </c>
      <c r="D18" s="14">
        <f>+'Entrada de dades'!E26</f>
        <v>55</v>
      </c>
      <c r="E18" s="3">
        <f t="shared" si="2"/>
        <v>94</v>
      </c>
      <c r="F18" s="3">
        <f t="shared" si="0"/>
        <v>93.5</v>
      </c>
      <c r="G18" s="3">
        <f t="shared" si="0"/>
        <v>170</v>
      </c>
      <c r="H18" s="2">
        <f t="shared" si="3"/>
        <v>319.04293249999995</v>
      </c>
      <c r="I18" s="2">
        <f t="shared" si="1"/>
        <v>190.40752958333334</v>
      </c>
      <c r="J18" s="2">
        <f t="shared" si="1"/>
        <v>230.79702916666665</v>
      </c>
      <c r="K18" s="18">
        <f t="shared" si="4"/>
        <v>740.24749124999994</v>
      </c>
    </row>
    <row r="19" spans="1:23" x14ac:dyDescent="0.25">
      <c r="A19" s="16" t="s">
        <v>33</v>
      </c>
      <c r="B19" s="10">
        <f>+'Entrada de dades'!C27</f>
        <v>95</v>
      </c>
      <c r="C19" s="10">
        <f>+'Entrada de dades'!D27</f>
        <v>95</v>
      </c>
      <c r="D19" s="10">
        <f>+'Entrada de dades'!E27</f>
        <v>65</v>
      </c>
      <c r="E19" s="7">
        <f t="shared" si="2"/>
        <v>95</v>
      </c>
      <c r="F19" s="7">
        <f t="shared" si="0"/>
        <v>95</v>
      </c>
      <c r="G19" s="7">
        <f t="shared" si="0"/>
        <v>170</v>
      </c>
      <c r="H19" s="6">
        <f t="shared" si="3"/>
        <v>322.43700624999997</v>
      </c>
      <c r="I19" s="6">
        <f t="shared" si="1"/>
        <v>193.46219583333334</v>
      </c>
      <c r="J19" s="6">
        <f t="shared" si="1"/>
        <v>230.79702916666665</v>
      </c>
      <c r="K19" s="19">
        <f>SUM(H19:J19)</f>
        <v>746.69623124999998</v>
      </c>
    </row>
    <row r="20" spans="1:23" ht="21" x14ac:dyDescent="0.35">
      <c r="A20" s="4"/>
      <c r="B20" s="5"/>
      <c r="C20" s="5"/>
      <c r="D20" s="5"/>
      <c r="E20" s="5"/>
      <c r="F20" s="5"/>
      <c r="G20" s="5"/>
      <c r="H20" s="11"/>
      <c r="I20" s="11"/>
      <c r="J20" s="20" t="s">
        <v>23</v>
      </c>
      <c r="K20" s="21">
        <f>SUBTOTAL(109,Taula11523[CP '[€/mes']])</f>
        <v>8634.8631037499981</v>
      </c>
    </row>
    <row r="21" spans="1:23" x14ac:dyDescent="0.25">
      <c r="A21" s="4"/>
      <c r="B21" s="4"/>
      <c r="C21" s="4"/>
      <c r="D21" s="4"/>
      <c r="E21" s="4"/>
      <c r="F21" s="4"/>
      <c r="G21" s="4"/>
      <c r="H21" s="4"/>
      <c r="I21" s="4"/>
      <c r="J21" s="4"/>
      <c r="K21" s="4"/>
    </row>
    <row r="22" spans="1:23" x14ac:dyDescent="0.25">
      <c r="A22" s="4"/>
      <c r="B22" s="4"/>
      <c r="C22" s="4"/>
      <c r="D22" s="4"/>
      <c r="E22" s="4"/>
      <c r="F22" s="4"/>
      <c r="G22" s="4"/>
      <c r="H22" s="4"/>
      <c r="I22" s="4"/>
      <c r="J22" s="4"/>
      <c r="K22" s="4"/>
    </row>
    <row r="23" spans="1:23" ht="23.25" x14ac:dyDescent="0.35">
      <c r="A23" s="17" t="s">
        <v>81</v>
      </c>
      <c r="B23" s="4"/>
      <c r="C23" s="4"/>
      <c r="D23" s="4"/>
      <c r="E23" s="4"/>
      <c r="F23" s="4"/>
      <c r="G23" s="4"/>
      <c r="H23" s="4"/>
      <c r="I23" s="4"/>
      <c r="J23" s="4"/>
      <c r="K23" s="4"/>
    </row>
    <row r="24" spans="1:23" x14ac:dyDescent="0.25">
      <c r="A24" s="4"/>
      <c r="B24" s="4"/>
      <c r="C24" s="4"/>
      <c r="D24" s="4"/>
      <c r="E24" s="4"/>
      <c r="F24" s="4"/>
      <c r="G24" s="4"/>
      <c r="H24" s="4"/>
      <c r="I24" s="4"/>
      <c r="J24" s="4"/>
      <c r="K24" s="4"/>
    </row>
    <row r="25" spans="1:23" x14ac:dyDescent="0.25">
      <c r="A25" s="4"/>
      <c r="B25" s="1" t="s">
        <v>6</v>
      </c>
      <c r="C25" s="1" t="s">
        <v>7</v>
      </c>
      <c r="D25" s="1" t="s">
        <v>8</v>
      </c>
      <c r="E25" s="4"/>
      <c r="F25" s="4"/>
      <c r="G25" s="4"/>
      <c r="H25" s="1" t="s">
        <v>10</v>
      </c>
      <c r="I25" s="1" t="s">
        <v>11</v>
      </c>
      <c r="J25" s="1" t="s">
        <v>12</v>
      </c>
      <c r="K25" s="4"/>
    </row>
    <row r="26" spans="1:23" ht="21" x14ac:dyDescent="0.35">
      <c r="A26" s="4"/>
      <c r="B26" s="23">
        <v>90.476144166100696</v>
      </c>
      <c r="C26" s="23">
        <v>87.619089794048733</v>
      </c>
      <c r="D26" s="23">
        <v>200</v>
      </c>
      <c r="E26" s="4"/>
      <c r="F26" s="4"/>
      <c r="G26" s="4"/>
      <c r="H26" s="1">
        <f>+H5</f>
        <v>40.728884999999998</v>
      </c>
      <c r="I26" s="1">
        <f t="shared" ref="I26:J26" si="5">+I5</f>
        <v>24.437329999999999</v>
      </c>
      <c r="J26" s="1">
        <f t="shared" si="5"/>
        <v>16.291554999999999</v>
      </c>
      <c r="K26" s="4"/>
    </row>
    <row r="27" spans="1:23" x14ac:dyDescent="0.25">
      <c r="A27" s="4"/>
      <c r="B27" s="5"/>
      <c r="C27" s="5"/>
      <c r="D27" s="5"/>
      <c r="E27" s="4"/>
      <c r="F27" s="4"/>
      <c r="G27" s="4"/>
      <c r="H27" s="4"/>
      <c r="I27" s="4"/>
      <c r="J27" s="4"/>
      <c r="K27" s="4"/>
    </row>
    <row r="28" spans="1:23" x14ac:dyDescent="0.25">
      <c r="A28" s="8" t="s">
        <v>9</v>
      </c>
      <c r="B28" s="9" t="s">
        <v>22</v>
      </c>
      <c r="C28" s="9" t="s">
        <v>21</v>
      </c>
      <c r="D28" s="9" t="s">
        <v>20</v>
      </c>
      <c r="E28" s="9" t="s">
        <v>19</v>
      </c>
      <c r="F28" s="9" t="s">
        <v>18</v>
      </c>
      <c r="G28" s="9" t="s">
        <v>17</v>
      </c>
      <c r="H28" s="9" t="s">
        <v>13</v>
      </c>
      <c r="I28" s="9" t="s">
        <v>14</v>
      </c>
      <c r="J28" s="9" t="s">
        <v>15</v>
      </c>
      <c r="K28" s="9" t="s">
        <v>16</v>
      </c>
    </row>
    <row r="29" spans="1:23" x14ac:dyDescent="0.25">
      <c r="A29" s="15" t="s">
        <v>25</v>
      </c>
      <c r="B29" s="14">
        <f t="shared" ref="B29:D40" si="6">+B8</f>
        <v>82</v>
      </c>
      <c r="C29" s="14">
        <f t="shared" si="6"/>
        <v>81</v>
      </c>
      <c r="D29" s="14">
        <f t="shared" si="6"/>
        <v>72</v>
      </c>
      <c r="E29" s="3">
        <f>+IF(B29&lt;(0.85*B$26),0.85*B$26,IF(B29&gt;(1.05*B$26),B29+2*(B29-1.05*B$26),B29))</f>
        <v>82</v>
      </c>
      <c r="F29" s="3">
        <f t="shared" ref="F29:G40" si="7">+IF(C29&lt;(0.85*C$26),0.85*C$26,IF(C29&gt;(1.05*C$26),C29+2*(C29-1.05*C$26),C29))</f>
        <v>81</v>
      </c>
      <c r="G29" s="3">
        <f t="shared" si="7"/>
        <v>170</v>
      </c>
      <c r="H29" s="2">
        <f>+H$26*E29/12</f>
        <v>278.31404749999996</v>
      </c>
      <c r="I29" s="2">
        <f t="shared" ref="I29:J40" si="8">+I$26*F29/12</f>
        <v>164.9519775</v>
      </c>
      <c r="J29" s="2">
        <f t="shared" si="8"/>
        <v>230.79702916666665</v>
      </c>
      <c r="K29" s="18">
        <f>SUM(H29:J29)</f>
        <v>674.06305416666657</v>
      </c>
      <c r="W29" s="30"/>
    </row>
    <row r="30" spans="1:23" x14ac:dyDescent="0.25">
      <c r="A30" s="16" t="s">
        <v>26</v>
      </c>
      <c r="B30" s="10">
        <f t="shared" si="6"/>
        <v>20</v>
      </c>
      <c r="C30" s="10">
        <f t="shared" si="6"/>
        <v>80</v>
      </c>
      <c r="D30" s="10">
        <f t="shared" si="6"/>
        <v>70</v>
      </c>
      <c r="E30" s="7">
        <f t="shared" ref="E30:E40" si="9">+IF(B30&lt;(0.85*B$26),0.85*B$26,IF(B30&gt;(1.05*B$26),B30+2*(B30-1.05*B$26),B30))</f>
        <v>76.904722541185592</v>
      </c>
      <c r="F30" s="7">
        <f t="shared" si="7"/>
        <v>80</v>
      </c>
      <c r="G30" s="7">
        <f t="shared" si="7"/>
        <v>170</v>
      </c>
      <c r="H30" s="6">
        <f t="shared" ref="H30:H40" si="10">+H$26*E30/12</f>
        <v>261.02030002807129</v>
      </c>
      <c r="I30" s="6">
        <f t="shared" si="8"/>
        <v>162.91553333333334</v>
      </c>
      <c r="J30" s="6">
        <f t="shared" si="8"/>
        <v>230.79702916666665</v>
      </c>
      <c r="K30" s="19">
        <f t="shared" ref="K30:K40" si="11">SUM(H30:J30)</f>
        <v>654.73286252807134</v>
      </c>
    </row>
    <row r="31" spans="1:23" x14ac:dyDescent="0.25">
      <c r="A31" s="15" t="s">
        <v>0</v>
      </c>
      <c r="B31" s="14">
        <f t="shared" si="6"/>
        <v>80</v>
      </c>
      <c r="C31" s="14">
        <f t="shared" si="6"/>
        <v>80</v>
      </c>
      <c r="D31" s="14">
        <f t="shared" si="6"/>
        <v>56</v>
      </c>
      <c r="E31" s="3">
        <f t="shared" si="9"/>
        <v>80</v>
      </c>
      <c r="F31" s="3">
        <f t="shared" si="7"/>
        <v>80</v>
      </c>
      <c r="G31" s="3">
        <f t="shared" si="7"/>
        <v>170</v>
      </c>
      <c r="H31" s="2">
        <f t="shared" si="10"/>
        <v>271.52589999999998</v>
      </c>
      <c r="I31" s="2">
        <f t="shared" si="8"/>
        <v>162.91553333333334</v>
      </c>
      <c r="J31" s="2">
        <f t="shared" si="8"/>
        <v>230.79702916666665</v>
      </c>
      <c r="K31" s="18">
        <f t="shared" si="11"/>
        <v>665.23846249999997</v>
      </c>
    </row>
    <row r="32" spans="1:23" x14ac:dyDescent="0.25">
      <c r="A32" s="16" t="s">
        <v>27</v>
      </c>
      <c r="B32" s="10">
        <f t="shared" si="6"/>
        <v>90</v>
      </c>
      <c r="C32" s="10">
        <f t="shared" si="6"/>
        <v>80</v>
      </c>
      <c r="D32" s="10">
        <f t="shared" si="6"/>
        <v>56</v>
      </c>
      <c r="E32" s="7">
        <f t="shared" si="9"/>
        <v>90</v>
      </c>
      <c r="F32" s="7">
        <f t="shared" si="7"/>
        <v>80</v>
      </c>
      <c r="G32" s="7">
        <f t="shared" si="7"/>
        <v>170</v>
      </c>
      <c r="H32" s="6">
        <f t="shared" si="10"/>
        <v>305.46663749999999</v>
      </c>
      <c r="I32" s="6">
        <f t="shared" si="8"/>
        <v>162.91553333333334</v>
      </c>
      <c r="J32" s="6">
        <f t="shared" si="8"/>
        <v>230.79702916666665</v>
      </c>
      <c r="K32" s="19">
        <f t="shared" si="11"/>
        <v>699.17920000000004</v>
      </c>
    </row>
    <row r="33" spans="1:21" x14ac:dyDescent="0.25">
      <c r="A33" s="15" t="s">
        <v>1</v>
      </c>
      <c r="B33" s="14">
        <f t="shared" si="6"/>
        <v>55</v>
      </c>
      <c r="C33" s="14">
        <f t="shared" si="6"/>
        <v>55</v>
      </c>
      <c r="D33" s="14">
        <f t="shared" si="6"/>
        <v>55</v>
      </c>
      <c r="E33" s="3">
        <f t="shared" si="9"/>
        <v>76.904722541185592</v>
      </c>
      <c r="F33" s="3">
        <f t="shared" si="7"/>
        <v>74.476226324941422</v>
      </c>
      <c r="G33" s="3">
        <f t="shared" si="7"/>
        <v>170</v>
      </c>
      <c r="H33" s="2">
        <f t="shared" si="10"/>
        <v>261.02030002807129</v>
      </c>
      <c r="I33" s="2">
        <f t="shared" si="8"/>
        <v>151.6666766547734</v>
      </c>
      <c r="J33" s="2">
        <f t="shared" si="8"/>
        <v>230.79702916666665</v>
      </c>
      <c r="K33" s="18">
        <f t="shared" si="11"/>
        <v>643.48400584951139</v>
      </c>
    </row>
    <row r="34" spans="1:21" s="4" customFormat="1" x14ac:dyDescent="0.25">
      <c r="A34" s="16" t="s">
        <v>2</v>
      </c>
      <c r="B34" s="10">
        <f t="shared" si="6"/>
        <v>31</v>
      </c>
      <c r="C34" s="10">
        <f t="shared" si="6"/>
        <v>30</v>
      </c>
      <c r="D34" s="10">
        <f t="shared" si="6"/>
        <v>58</v>
      </c>
      <c r="E34" s="7">
        <f>+IF(B34&lt;(0.85*B$26),0.85*B$26,IF(B34&gt;(1.05*B$26),B34+2*(B34-1.05*B$26),B34))</f>
        <v>76.904722541185592</v>
      </c>
      <c r="F34" s="7">
        <f t="shared" si="7"/>
        <v>74.476226324941422</v>
      </c>
      <c r="G34" s="7">
        <f t="shared" si="7"/>
        <v>170</v>
      </c>
      <c r="H34" s="6">
        <f t="shared" si="10"/>
        <v>261.02030002807129</v>
      </c>
      <c r="I34" s="6">
        <f t="shared" si="8"/>
        <v>151.6666766547734</v>
      </c>
      <c r="J34" s="6">
        <f t="shared" si="8"/>
        <v>230.79702916666665</v>
      </c>
      <c r="K34" s="19">
        <f t="shared" si="11"/>
        <v>643.48400584951139</v>
      </c>
      <c r="O34"/>
      <c r="P34"/>
      <c r="Q34"/>
      <c r="S34"/>
      <c r="T34"/>
      <c r="U34"/>
    </row>
    <row r="35" spans="1:21" x14ac:dyDescent="0.25">
      <c r="A35" s="15" t="s">
        <v>28</v>
      </c>
      <c r="B35" s="14">
        <f t="shared" si="6"/>
        <v>75</v>
      </c>
      <c r="C35" s="14">
        <f t="shared" si="6"/>
        <v>85</v>
      </c>
      <c r="D35" s="14">
        <f t="shared" si="6"/>
        <v>60</v>
      </c>
      <c r="E35" s="3">
        <f t="shared" si="9"/>
        <v>76.904722541185592</v>
      </c>
      <c r="F35" s="3">
        <f t="shared" si="7"/>
        <v>85</v>
      </c>
      <c r="G35" s="3">
        <f t="shared" si="7"/>
        <v>170</v>
      </c>
      <c r="H35" s="2">
        <f t="shared" si="10"/>
        <v>261.02030002807129</v>
      </c>
      <c r="I35" s="2">
        <f t="shared" si="8"/>
        <v>173.09775416666665</v>
      </c>
      <c r="J35" s="2">
        <f t="shared" si="8"/>
        <v>230.79702916666665</v>
      </c>
      <c r="K35" s="18">
        <f t="shared" si="11"/>
        <v>664.91508336140464</v>
      </c>
    </row>
    <row r="36" spans="1:21" x14ac:dyDescent="0.25">
      <c r="A36" s="16" t="s">
        <v>29</v>
      </c>
      <c r="B36" s="10">
        <f t="shared" si="6"/>
        <v>81</v>
      </c>
      <c r="C36" s="10">
        <f t="shared" si="6"/>
        <v>85</v>
      </c>
      <c r="D36" s="10">
        <f t="shared" si="6"/>
        <v>65</v>
      </c>
      <c r="E36" s="7">
        <f t="shared" si="9"/>
        <v>81</v>
      </c>
      <c r="F36" s="7">
        <f t="shared" si="7"/>
        <v>85</v>
      </c>
      <c r="G36" s="7">
        <f t="shared" si="7"/>
        <v>170</v>
      </c>
      <c r="H36" s="6">
        <f t="shared" si="10"/>
        <v>274.91997375</v>
      </c>
      <c r="I36" s="6">
        <f t="shared" si="8"/>
        <v>173.09775416666665</v>
      </c>
      <c r="J36" s="6">
        <f t="shared" si="8"/>
        <v>230.79702916666665</v>
      </c>
      <c r="K36" s="19">
        <f t="shared" si="11"/>
        <v>678.81475708333335</v>
      </c>
    </row>
    <row r="37" spans="1:21" x14ac:dyDescent="0.25">
      <c r="A37" s="15" t="s">
        <v>30</v>
      </c>
      <c r="B37" s="14">
        <f t="shared" si="6"/>
        <v>78</v>
      </c>
      <c r="C37" s="14">
        <f t="shared" si="6"/>
        <v>85</v>
      </c>
      <c r="D37" s="14">
        <f t="shared" si="6"/>
        <v>85</v>
      </c>
      <c r="E37" s="3">
        <f t="shared" si="9"/>
        <v>78</v>
      </c>
      <c r="F37" s="3">
        <f t="shared" si="7"/>
        <v>85</v>
      </c>
      <c r="G37" s="3">
        <f t="shared" si="7"/>
        <v>170</v>
      </c>
      <c r="H37" s="2">
        <f t="shared" si="10"/>
        <v>264.7377525</v>
      </c>
      <c r="I37" s="2">
        <f t="shared" si="8"/>
        <v>173.09775416666665</v>
      </c>
      <c r="J37" s="2">
        <f t="shared" si="8"/>
        <v>230.79702916666665</v>
      </c>
      <c r="K37" s="18">
        <f t="shared" si="11"/>
        <v>668.63253583333335</v>
      </c>
    </row>
    <row r="38" spans="1:21" x14ac:dyDescent="0.25">
      <c r="A38" s="16" t="s">
        <v>31</v>
      </c>
      <c r="B38" s="10">
        <f t="shared" si="6"/>
        <v>95</v>
      </c>
      <c r="C38" s="10">
        <f t="shared" si="6"/>
        <v>60</v>
      </c>
      <c r="D38" s="10">
        <f t="shared" si="6"/>
        <v>75</v>
      </c>
      <c r="E38" s="7">
        <f t="shared" si="9"/>
        <v>95.000097251188521</v>
      </c>
      <c r="F38" s="7">
        <f t="shared" si="7"/>
        <v>74.476226324941422</v>
      </c>
      <c r="G38" s="7">
        <f t="shared" si="7"/>
        <v>170</v>
      </c>
      <c r="H38" s="6">
        <f t="shared" si="10"/>
        <v>322.43733632770608</v>
      </c>
      <c r="I38" s="6">
        <f t="shared" si="8"/>
        <v>151.6666766547734</v>
      </c>
      <c r="J38" s="6">
        <f t="shared" si="8"/>
        <v>230.79702916666665</v>
      </c>
      <c r="K38" s="19">
        <f t="shared" si="11"/>
        <v>704.90104214914618</v>
      </c>
    </row>
    <row r="39" spans="1:21" x14ac:dyDescent="0.25">
      <c r="A39" s="15" t="s">
        <v>32</v>
      </c>
      <c r="B39" s="14">
        <f t="shared" si="6"/>
        <v>94</v>
      </c>
      <c r="C39" s="14">
        <f t="shared" si="6"/>
        <v>92</v>
      </c>
      <c r="D39" s="14">
        <f t="shared" si="6"/>
        <v>55</v>
      </c>
      <c r="E39" s="3">
        <f t="shared" si="9"/>
        <v>94</v>
      </c>
      <c r="F39" s="3">
        <f t="shared" si="7"/>
        <v>92</v>
      </c>
      <c r="G39" s="3">
        <f t="shared" si="7"/>
        <v>170</v>
      </c>
      <c r="H39" s="2">
        <f t="shared" si="10"/>
        <v>319.04293249999995</v>
      </c>
      <c r="I39" s="2">
        <f t="shared" si="8"/>
        <v>187.35286333333332</v>
      </c>
      <c r="J39" s="2">
        <f t="shared" si="8"/>
        <v>230.79702916666665</v>
      </c>
      <c r="K39" s="18">
        <f t="shared" si="11"/>
        <v>737.19282499999997</v>
      </c>
    </row>
    <row r="40" spans="1:21" x14ac:dyDescent="0.25">
      <c r="A40" s="16" t="s">
        <v>33</v>
      </c>
      <c r="B40" s="10">
        <f t="shared" si="6"/>
        <v>95</v>
      </c>
      <c r="C40" s="10">
        <f t="shared" si="6"/>
        <v>95</v>
      </c>
      <c r="D40" s="10">
        <f t="shared" si="6"/>
        <v>65</v>
      </c>
      <c r="E40" s="7">
        <f t="shared" si="9"/>
        <v>95.000097251188521</v>
      </c>
      <c r="F40" s="7">
        <f t="shared" si="7"/>
        <v>100.99991143249764</v>
      </c>
      <c r="G40" s="7">
        <f t="shared" si="7"/>
        <v>170</v>
      </c>
      <c r="H40" s="6">
        <f t="shared" si="10"/>
        <v>322.43733632770608</v>
      </c>
      <c r="I40" s="6">
        <f t="shared" si="8"/>
        <v>205.68068047055979</v>
      </c>
      <c r="J40" s="6">
        <f t="shared" si="8"/>
        <v>230.79702916666665</v>
      </c>
      <c r="K40" s="19">
        <f t="shared" si="11"/>
        <v>758.91504596493257</v>
      </c>
    </row>
    <row r="41" spans="1:21" ht="21" x14ac:dyDescent="0.35">
      <c r="A41" s="4"/>
      <c r="B41" s="5"/>
      <c r="C41" s="5"/>
      <c r="D41" s="5"/>
      <c r="E41" s="7"/>
      <c r="F41" s="7"/>
      <c r="G41" s="7"/>
      <c r="H41" s="11"/>
      <c r="I41" s="11"/>
      <c r="J41" s="20" t="s">
        <v>24</v>
      </c>
      <c r="K41" s="21">
        <f>SUBTOTAL(109,Taula21724[CP '[€/mes']])</f>
        <v>8193.5528802859099</v>
      </c>
    </row>
    <row r="42" spans="1:21" x14ac:dyDescent="0.25">
      <c r="A42" s="4"/>
      <c r="B42" s="4"/>
      <c r="C42" s="4"/>
      <c r="D42" s="4"/>
      <c r="E42" s="4"/>
      <c r="F42" s="4"/>
      <c r="G42" s="4"/>
      <c r="H42" s="4"/>
      <c r="I42" s="4"/>
      <c r="J42" s="4"/>
      <c r="K42" s="4"/>
    </row>
    <row r="43" spans="1:21" x14ac:dyDescent="0.25">
      <c r="A43" s="4"/>
      <c r="B43" s="4"/>
      <c r="C43" s="4"/>
      <c r="D43" s="4"/>
      <c r="E43" s="4"/>
      <c r="F43" s="4"/>
      <c r="G43" s="4"/>
      <c r="H43" s="4"/>
      <c r="I43" s="4"/>
      <c r="J43" s="4"/>
      <c r="K43" s="4"/>
    </row>
    <row r="44" spans="1:21" ht="23.25" x14ac:dyDescent="0.35">
      <c r="A44" s="4"/>
      <c r="B44" s="4"/>
      <c r="C44" s="4"/>
      <c r="D44" s="4"/>
      <c r="E44" s="4"/>
      <c r="F44" s="4"/>
      <c r="G44" s="4"/>
      <c r="H44" s="4"/>
      <c r="I44" s="4"/>
      <c r="J44" s="24" t="s">
        <v>34</v>
      </c>
      <c r="K44" s="25">
        <f>K20-K41</f>
        <v>441.31022346408827</v>
      </c>
    </row>
    <row r="45" spans="1:21" ht="23.25" x14ac:dyDescent="0.35">
      <c r="A45" s="4"/>
      <c r="B45" s="4"/>
      <c r="C45" s="4"/>
      <c r="D45" s="4"/>
      <c r="E45" s="4"/>
      <c r="F45" s="4"/>
      <c r="G45" s="4"/>
      <c r="H45" s="4"/>
      <c r="I45" s="4"/>
      <c r="J45" s="26"/>
      <c r="K45" s="26"/>
    </row>
    <row r="46" spans="1:21" ht="23.25" x14ac:dyDescent="0.35">
      <c r="A46" s="4"/>
      <c r="B46" s="4"/>
      <c r="C46" s="4"/>
      <c r="D46" s="4"/>
      <c r="E46" s="4"/>
      <c r="F46" s="4"/>
      <c r="G46" s="4"/>
      <c r="H46" s="4"/>
      <c r="I46" s="4"/>
      <c r="J46" s="24" t="s">
        <v>35</v>
      </c>
      <c r="K46" s="25">
        <v>-9.0447600000000001</v>
      </c>
    </row>
    <row r="47" spans="1:21" ht="23.25" x14ac:dyDescent="0.35">
      <c r="A47" s="4"/>
      <c r="B47" s="4"/>
      <c r="C47" s="4"/>
      <c r="D47" s="4"/>
      <c r="E47" s="4"/>
      <c r="F47" s="4"/>
      <c r="G47" s="4"/>
      <c r="H47" s="4"/>
      <c r="I47" s="4"/>
      <c r="J47" s="24" t="s">
        <v>38</v>
      </c>
      <c r="K47" s="99">
        <f>IF(OR((Taula42026[PCO1]-Taula31925[PC1])&gt;0,(Taula42026[PCO2]-Taula31925[PC2])&gt;0,(Taula42026[PCO3]-Taula31925[PC3])&gt;0),-MAX((Taula42026[PCO1]-Taula31925[PC1]),(Taula42026[PCO2]-Taula31925[PC2]),(Taula42026[PCO3]-Taula31925[PC3]))*17.374714,0)</f>
        <v>0</v>
      </c>
      <c r="O47" s="54"/>
      <c r="P47" s="54"/>
      <c r="Q47" s="54"/>
    </row>
    <row r="48" spans="1:21" ht="23.25" x14ac:dyDescent="0.35">
      <c r="A48" s="4"/>
      <c r="B48" s="4"/>
      <c r="C48" s="4"/>
      <c r="D48" s="4"/>
      <c r="E48" s="4"/>
      <c r="F48" s="4"/>
      <c r="G48" s="4"/>
      <c r="H48" s="4"/>
      <c r="I48" s="4"/>
      <c r="J48" s="24" t="s">
        <v>39</v>
      </c>
      <c r="K48" s="99">
        <f>IF(OR((Taula42026[PCO1]-Taula31925[PC1])&gt;0,(Taula42026[PCO2]-Taula31925[PC2])&gt;0,(Taula42026[PCO3]-Taula31925[PC3])&gt;0),-MAX((Taula42026[PCO1]-Taula31925[PC1]),(Taula42026[PCO2]-Taula31925[PC2]),(Taula42026[PCO3]-Taula31925[PC3]))*19.703137,0)</f>
        <v>0</v>
      </c>
    </row>
    <row r="49" spans="1:11" ht="23.25" x14ac:dyDescent="0.35">
      <c r="A49" s="4"/>
      <c r="B49" s="4"/>
      <c r="C49" s="4"/>
      <c r="D49" s="4"/>
      <c r="E49" s="4"/>
      <c r="F49" s="4"/>
      <c r="G49" s="4"/>
      <c r="H49" s="4"/>
      <c r="I49" s="4"/>
      <c r="J49" s="24"/>
      <c r="K49" s="27"/>
    </row>
    <row r="50" spans="1:11" ht="23.25" x14ac:dyDescent="0.35">
      <c r="A50" s="4"/>
      <c r="B50" s="4"/>
      <c r="C50" s="4"/>
      <c r="D50" s="4"/>
      <c r="E50" s="4"/>
      <c r="F50" s="4"/>
      <c r="G50" s="4"/>
      <c r="H50" s="4"/>
      <c r="I50" s="4"/>
      <c r="J50" s="24" t="s">
        <v>36</v>
      </c>
      <c r="K50" s="28" t="s">
        <v>37</v>
      </c>
    </row>
    <row r="51" spans="1:11" x14ac:dyDescent="0.25">
      <c r="A51" s="4"/>
      <c r="B51" s="4"/>
      <c r="C51" s="4"/>
      <c r="D51" s="4"/>
      <c r="E51" s="4"/>
      <c r="F51" s="4"/>
      <c r="G51" s="4"/>
      <c r="H51" s="4"/>
      <c r="I51" s="4"/>
      <c r="J51" s="4"/>
      <c r="K51" s="4"/>
    </row>
    <row r="52" spans="1:11" ht="21" x14ac:dyDescent="0.25">
      <c r="A52" s="4"/>
      <c r="B52" s="4"/>
      <c r="C52" s="4"/>
      <c r="D52" s="4"/>
      <c r="E52" s="4"/>
      <c r="F52" s="4"/>
      <c r="G52" s="4"/>
      <c r="H52" s="4"/>
      <c r="I52" s="4"/>
      <c r="J52" s="13"/>
      <c r="K52" s="12"/>
    </row>
  </sheetData>
  <conditionalFormatting sqref="K8:K19 K29:K40">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6"/>
  <dimension ref="A1:Q52"/>
  <sheetViews>
    <sheetView zoomScale="85" zoomScaleNormal="85" workbookViewId="0">
      <selection activeCell="K47" sqref="K47:K48"/>
    </sheetView>
  </sheetViews>
  <sheetFormatPr defaultRowHeight="15" x14ac:dyDescent="0.25"/>
  <cols>
    <col min="1" max="1" width="12.85546875" customWidth="1"/>
    <col min="2" max="10" width="13.85546875" customWidth="1"/>
    <col min="11" max="11" width="17.5703125" customWidth="1"/>
  </cols>
  <sheetData>
    <row r="1" spans="1:11" x14ac:dyDescent="0.25">
      <c r="A1" s="4"/>
      <c r="B1" s="4"/>
      <c r="C1" s="4"/>
      <c r="D1" s="4"/>
      <c r="E1" s="4"/>
      <c r="F1" s="4"/>
      <c r="G1" s="4"/>
      <c r="H1" s="4"/>
      <c r="I1" s="4"/>
      <c r="J1" s="4"/>
      <c r="K1" s="4"/>
    </row>
    <row r="2" spans="1:11" ht="23.25" x14ac:dyDescent="0.35">
      <c r="A2" s="17" t="s">
        <v>80</v>
      </c>
      <c r="B2" s="4"/>
      <c r="C2" s="4"/>
      <c r="D2" s="4"/>
      <c r="E2" s="4"/>
      <c r="F2" s="4"/>
      <c r="G2" s="4"/>
      <c r="H2" s="4"/>
      <c r="I2" s="4"/>
      <c r="J2" s="4"/>
      <c r="K2" s="4"/>
    </row>
    <row r="3" spans="1:11" x14ac:dyDescent="0.25">
      <c r="A3" s="4"/>
      <c r="B3" s="4"/>
      <c r="C3" s="4"/>
      <c r="D3" s="4"/>
      <c r="E3" s="4"/>
      <c r="F3" s="4"/>
      <c r="G3" s="4"/>
      <c r="H3" s="4"/>
      <c r="I3" s="4"/>
      <c r="J3" s="4"/>
      <c r="K3" s="4"/>
    </row>
    <row r="4" spans="1:11" x14ac:dyDescent="0.25">
      <c r="A4" s="4"/>
      <c r="B4" s="1" t="s">
        <v>3</v>
      </c>
      <c r="C4" s="1" t="s">
        <v>4</v>
      </c>
      <c r="D4" s="1" t="s">
        <v>5</v>
      </c>
      <c r="E4" s="4"/>
      <c r="F4" s="4"/>
      <c r="G4" s="4"/>
      <c r="H4" s="1" t="s">
        <v>10</v>
      </c>
      <c r="I4" s="1" t="s">
        <v>11</v>
      </c>
      <c r="J4" s="1" t="s">
        <v>12</v>
      </c>
      <c r="K4" s="4"/>
    </row>
    <row r="5" spans="1:11" ht="21" x14ac:dyDescent="0.35">
      <c r="A5" s="4"/>
      <c r="B5" s="22">
        <f>+'Entrada de dades'!C11</f>
        <v>100</v>
      </c>
      <c r="C5" s="22">
        <f>+'Entrada de dades'!D11</f>
        <v>110</v>
      </c>
      <c r="D5" s="22">
        <f>+'Entrada de dades'!E11</f>
        <v>200</v>
      </c>
      <c r="E5" s="4"/>
      <c r="F5" s="4"/>
      <c r="G5" s="4"/>
      <c r="H5" s="1">
        <f>'Entrada de dades'!D3</f>
        <v>59.173468</v>
      </c>
      <c r="I5" s="1">
        <f>'Entrada de dades'!E3</f>
        <v>36.490689000000003</v>
      </c>
      <c r="J5" s="1">
        <f>'Entrada de dades'!F3</f>
        <v>8.3677309999999991</v>
      </c>
      <c r="K5" s="4"/>
    </row>
    <row r="6" spans="1:11" x14ac:dyDescent="0.25">
      <c r="A6" s="4"/>
      <c r="B6" s="5"/>
      <c r="C6" s="5"/>
      <c r="D6" s="5"/>
      <c r="E6" s="4"/>
      <c r="F6" s="4"/>
      <c r="G6" s="4"/>
      <c r="H6" s="4"/>
      <c r="I6" s="4"/>
      <c r="J6" s="4"/>
      <c r="K6" s="4"/>
    </row>
    <row r="7" spans="1:11" x14ac:dyDescent="0.25">
      <c r="A7" s="8" t="s">
        <v>9</v>
      </c>
      <c r="B7" s="9" t="s">
        <v>22</v>
      </c>
      <c r="C7" s="9" t="s">
        <v>21</v>
      </c>
      <c r="D7" s="9" t="s">
        <v>20</v>
      </c>
      <c r="E7" s="9" t="s">
        <v>19</v>
      </c>
      <c r="F7" s="9" t="s">
        <v>18</v>
      </c>
      <c r="G7" s="9" t="s">
        <v>17</v>
      </c>
      <c r="H7" s="9" t="s">
        <v>13</v>
      </c>
      <c r="I7" s="9" t="s">
        <v>14</v>
      </c>
      <c r="J7" s="9" t="s">
        <v>15</v>
      </c>
      <c r="K7" s="9" t="s">
        <v>16</v>
      </c>
    </row>
    <row r="8" spans="1:11" x14ac:dyDescent="0.25">
      <c r="A8" s="15" t="s">
        <v>25</v>
      </c>
      <c r="B8" s="14">
        <f>+'Entrada de dades'!C16</f>
        <v>82</v>
      </c>
      <c r="C8" s="14">
        <f>+'Entrada de dades'!D16</f>
        <v>81</v>
      </c>
      <c r="D8" s="14">
        <f>+'Entrada de dades'!E16</f>
        <v>72</v>
      </c>
      <c r="E8" s="1">
        <f>+IF(B8&lt;(0.85*B$5),0.85*B$5,IF(B8&gt;(1.05*B$5),B8+2*(B8-1.05*B$5),B8))</f>
        <v>85</v>
      </c>
      <c r="F8" s="1">
        <f t="shared" ref="F8:G19" si="0">+IF(C8&lt;(0.85*C$5),0.85*C$5,IF(C8&gt;(1.05*C$5),C8+2*(C8-1.05*C$5),C8))</f>
        <v>93.5</v>
      </c>
      <c r="G8" s="1">
        <f t="shared" si="0"/>
        <v>170</v>
      </c>
      <c r="H8" s="2">
        <f>+H$5*E8/12</f>
        <v>419.14539833333333</v>
      </c>
      <c r="I8" s="2">
        <f t="shared" ref="I8:J19" si="1">+I$5*F8/12</f>
        <v>284.32328512500004</v>
      </c>
      <c r="J8" s="2">
        <f t="shared" si="1"/>
        <v>118.54285583333332</v>
      </c>
      <c r="K8" s="18">
        <f>SUM(H8:J8)</f>
        <v>822.01153929166662</v>
      </c>
    </row>
    <row r="9" spans="1:11" x14ac:dyDescent="0.25">
      <c r="A9" s="16" t="s">
        <v>26</v>
      </c>
      <c r="B9" s="10">
        <f>+'Entrada de dades'!C17</f>
        <v>20</v>
      </c>
      <c r="C9" s="10">
        <f>+'Entrada de dades'!D17</f>
        <v>80</v>
      </c>
      <c r="D9" s="10">
        <f>+'Entrada de dades'!E17</f>
        <v>70</v>
      </c>
      <c r="E9" s="5">
        <f t="shared" ref="E9:E19" si="2">+IF(B9&lt;(0.85*B$5),0.85*B$5,IF(B9&gt;(1.05*B$5),B9+2*(B9-1.05*B$5),B9))</f>
        <v>85</v>
      </c>
      <c r="F9" s="5">
        <f t="shared" si="0"/>
        <v>93.5</v>
      </c>
      <c r="G9" s="5">
        <f t="shared" si="0"/>
        <v>170</v>
      </c>
      <c r="H9" s="6">
        <f t="shared" ref="H9:H19" si="3">+H$5*E9/12</f>
        <v>419.14539833333333</v>
      </c>
      <c r="I9" s="6">
        <f t="shared" si="1"/>
        <v>284.32328512500004</v>
      </c>
      <c r="J9" s="6">
        <f t="shared" si="1"/>
        <v>118.54285583333332</v>
      </c>
      <c r="K9" s="19">
        <f t="shared" ref="K9:K18" si="4">SUM(H9:J9)</f>
        <v>822.01153929166662</v>
      </c>
    </row>
    <row r="10" spans="1:11" x14ac:dyDescent="0.25">
      <c r="A10" s="15" t="s">
        <v>0</v>
      </c>
      <c r="B10" s="14">
        <f>+'Entrada de dades'!C18</f>
        <v>80</v>
      </c>
      <c r="C10" s="14">
        <f>+'Entrada de dades'!D18</f>
        <v>80</v>
      </c>
      <c r="D10" s="14">
        <f>+'Entrada de dades'!E18</f>
        <v>56</v>
      </c>
      <c r="E10" s="1">
        <f t="shared" si="2"/>
        <v>85</v>
      </c>
      <c r="F10" s="1">
        <f t="shared" si="0"/>
        <v>93.5</v>
      </c>
      <c r="G10" s="1">
        <f t="shared" si="0"/>
        <v>170</v>
      </c>
      <c r="H10" s="2">
        <f t="shared" si="3"/>
        <v>419.14539833333333</v>
      </c>
      <c r="I10" s="2">
        <f t="shared" si="1"/>
        <v>284.32328512500004</v>
      </c>
      <c r="J10" s="2">
        <f t="shared" si="1"/>
        <v>118.54285583333332</v>
      </c>
      <c r="K10" s="18">
        <f t="shared" si="4"/>
        <v>822.01153929166662</v>
      </c>
    </row>
    <row r="11" spans="1:11" x14ac:dyDescent="0.25">
      <c r="A11" s="16" t="s">
        <v>27</v>
      </c>
      <c r="B11" s="10">
        <f>+'Entrada de dades'!C19</f>
        <v>90</v>
      </c>
      <c r="C11" s="10">
        <f>+'Entrada de dades'!D19</f>
        <v>80</v>
      </c>
      <c r="D11" s="10">
        <f>+'Entrada de dades'!E19</f>
        <v>56</v>
      </c>
      <c r="E11" s="5">
        <f t="shared" si="2"/>
        <v>90</v>
      </c>
      <c r="F11" s="5">
        <f t="shared" si="0"/>
        <v>93.5</v>
      </c>
      <c r="G11" s="5">
        <f t="shared" si="0"/>
        <v>170</v>
      </c>
      <c r="H11" s="6">
        <f t="shared" si="3"/>
        <v>443.80100999999996</v>
      </c>
      <c r="I11" s="6">
        <f t="shared" si="1"/>
        <v>284.32328512500004</v>
      </c>
      <c r="J11" s="6">
        <f t="shared" si="1"/>
        <v>118.54285583333332</v>
      </c>
      <c r="K11" s="19">
        <f t="shared" si="4"/>
        <v>846.66715095833331</v>
      </c>
    </row>
    <row r="12" spans="1:11" x14ac:dyDescent="0.25">
      <c r="A12" s="15" t="s">
        <v>1</v>
      </c>
      <c r="B12" s="14">
        <f>+'Entrada de dades'!C20</f>
        <v>55</v>
      </c>
      <c r="C12" s="14">
        <f>+'Entrada de dades'!D20</f>
        <v>55</v>
      </c>
      <c r="D12" s="14">
        <f>+'Entrada de dades'!E20</f>
        <v>55</v>
      </c>
      <c r="E12" s="1">
        <f t="shared" si="2"/>
        <v>85</v>
      </c>
      <c r="F12" s="1">
        <f t="shared" si="0"/>
        <v>93.5</v>
      </c>
      <c r="G12" s="1">
        <f t="shared" si="0"/>
        <v>170</v>
      </c>
      <c r="H12" s="2">
        <f t="shared" si="3"/>
        <v>419.14539833333333</v>
      </c>
      <c r="I12" s="2">
        <f t="shared" si="1"/>
        <v>284.32328512500004</v>
      </c>
      <c r="J12" s="2">
        <f t="shared" si="1"/>
        <v>118.54285583333332</v>
      </c>
      <c r="K12" s="18">
        <f t="shared" si="4"/>
        <v>822.01153929166662</v>
      </c>
    </row>
    <row r="13" spans="1:11" x14ac:dyDescent="0.25">
      <c r="A13" s="16" t="s">
        <v>2</v>
      </c>
      <c r="B13" s="10">
        <f>+'Entrada de dades'!C21</f>
        <v>31</v>
      </c>
      <c r="C13" s="10">
        <f>+'Entrada de dades'!D21</f>
        <v>30</v>
      </c>
      <c r="D13" s="10">
        <f>+'Entrada de dades'!E21</f>
        <v>58</v>
      </c>
      <c r="E13" s="5">
        <f t="shared" si="2"/>
        <v>85</v>
      </c>
      <c r="F13" s="5">
        <f t="shared" si="0"/>
        <v>93.5</v>
      </c>
      <c r="G13" s="5">
        <f t="shared" si="0"/>
        <v>170</v>
      </c>
      <c r="H13" s="6">
        <f t="shared" si="3"/>
        <v>419.14539833333333</v>
      </c>
      <c r="I13" s="6">
        <f t="shared" si="1"/>
        <v>284.32328512500004</v>
      </c>
      <c r="J13" s="6">
        <f t="shared" si="1"/>
        <v>118.54285583333332</v>
      </c>
      <c r="K13" s="19">
        <f t="shared" si="4"/>
        <v>822.01153929166662</v>
      </c>
    </row>
    <row r="14" spans="1:11" x14ac:dyDescent="0.25">
      <c r="A14" s="15" t="s">
        <v>28</v>
      </c>
      <c r="B14" s="14">
        <f>+'Entrada de dades'!C22</f>
        <v>75</v>
      </c>
      <c r="C14" s="14">
        <f>+'Entrada de dades'!D22</f>
        <v>85</v>
      </c>
      <c r="D14" s="14">
        <f>+'Entrada de dades'!E22</f>
        <v>60</v>
      </c>
      <c r="E14" s="1">
        <f t="shared" si="2"/>
        <v>85</v>
      </c>
      <c r="F14" s="1">
        <f t="shared" si="0"/>
        <v>93.5</v>
      </c>
      <c r="G14" s="1">
        <f t="shared" si="0"/>
        <v>170</v>
      </c>
      <c r="H14" s="2">
        <f t="shared" si="3"/>
        <v>419.14539833333333</v>
      </c>
      <c r="I14" s="2">
        <f t="shared" si="1"/>
        <v>284.32328512500004</v>
      </c>
      <c r="J14" s="2">
        <f t="shared" si="1"/>
        <v>118.54285583333332</v>
      </c>
      <c r="K14" s="18">
        <f t="shared" si="4"/>
        <v>822.01153929166662</v>
      </c>
    </row>
    <row r="15" spans="1:11" x14ac:dyDescent="0.25">
      <c r="A15" s="16" t="s">
        <v>29</v>
      </c>
      <c r="B15" s="10">
        <f>+'Entrada de dades'!C23</f>
        <v>81</v>
      </c>
      <c r="C15" s="10">
        <f>+'Entrada de dades'!D23</f>
        <v>85</v>
      </c>
      <c r="D15" s="10">
        <f>+'Entrada de dades'!E23</f>
        <v>65</v>
      </c>
      <c r="E15" s="5">
        <f t="shared" si="2"/>
        <v>85</v>
      </c>
      <c r="F15" s="5">
        <f t="shared" si="0"/>
        <v>93.5</v>
      </c>
      <c r="G15" s="5">
        <f t="shared" si="0"/>
        <v>170</v>
      </c>
      <c r="H15" s="6">
        <f t="shared" si="3"/>
        <v>419.14539833333333</v>
      </c>
      <c r="I15" s="6">
        <f t="shared" si="1"/>
        <v>284.32328512500004</v>
      </c>
      <c r="J15" s="6">
        <f t="shared" si="1"/>
        <v>118.54285583333332</v>
      </c>
      <c r="K15" s="19">
        <f t="shared" si="4"/>
        <v>822.01153929166662</v>
      </c>
    </row>
    <row r="16" spans="1:11" x14ac:dyDescent="0.25">
      <c r="A16" s="15" t="s">
        <v>30</v>
      </c>
      <c r="B16" s="14">
        <f>+'Entrada de dades'!C24</f>
        <v>78</v>
      </c>
      <c r="C16" s="14">
        <f>+'Entrada de dades'!D24</f>
        <v>85</v>
      </c>
      <c r="D16" s="14">
        <f>+'Entrada de dades'!E24</f>
        <v>85</v>
      </c>
      <c r="E16" s="1">
        <f t="shared" si="2"/>
        <v>85</v>
      </c>
      <c r="F16" s="1">
        <f t="shared" si="0"/>
        <v>93.5</v>
      </c>
      <c r="G16" s="1">
        <f t="shared" si="0"/>
        <v>170</v>
      </c>
      <c r="H16" s="2">
        <f t="shared" si="3"/>
        <v>419.14539833333333</v>
      </c>
      <c r="I16" s="2">
        <f t="shared" si="1"/>
        <v>284.32328512500004</v>
      </c>
      <c r="J16" s="2">
        <f t="shared" si="1"/>
        <v>118.54285583333332</v>
      </c>
      <c r="K16" s="18">
        <f t="shared" si="4"/>
        <v>822.01153929166662</v>
      </c>
    </row>
    <row r="17" spans="1:11" x14ac:dyDescent="0.25">
      <c r="A17" s="16" t="s">
        <v>31</v>
      </c>
      <c r="B17" s="10">
        <f>+'Entrada de dades'!C25</f>
        <v>95</v>
      </c>
      <c r="C17" s="10">
        <f>+'Entrada de dades'!D25</f>
        <v>60</v>
      </c>
      <c r="D17" s="10">
        <f>+'Entrada de dades'!E25</f>
        <v>75</v>
      </c>
      <c r="E17" s="5">
        <f t="shared" si="2"/>
        <v>95</v>
      </c>
      <c r="F17" s="5">
        <f>+IF(C17&lt;(0.85*C$5),0.85*C$5,IF(C17&gt;(1.05*C$5),C17+2*(C17-1.05*C$5),C17))</f>
        <v>93.5</v>
      </c>
      <c r="G17" s="5">
        <f t="shared" si="0"/>
        <v>170</v>
      </c>
      <c r="H17" s="6">
        <f t="shared" si="3"/>
        <v>468.45662166666665</v>
      </c>
      <c r="I17" s="6">
        <f t="shared" si="1"/>
        <v>284.32328512500004</v>
      </c>
      <c r="J17" s="6">
        <f t="shared" si="1"/>
        <v>118.54285583333332</v>
      </c>
      <c r="K17" s="19">
        <f t="shared" si="4"/>
        <v>871.322762625</v>
      </c>
    </row>
    <row r="18" spans="1:11" x14ac:dyDescent="0.25">
      <c r="A18" s="15" t="s">
        <v>32</v>
      </c>
      <c r="B18" s="14">
        <f>+'Entrada de dades'!C26</f>
        <v>94</v>
      </c>
      <c r="C18" s="14">
        <f>+'Entrada de dades'!D26</f>
        <v>92</v>
      </c>
      <c r="D18" s="14">
        <f>+'Entrada de dades'!E26</f>
        <v>55</v>
      </c>
      <c r="E18" s="1">
        <f t="shared" si="2"/>
        <v>94</v>
      </c>
      <c r="F18" s="1">
        <f t="shared" si="0"/>
        <v>93.5</v>
      </c>
      <c r="G18" s="1">
        <f t="shared" si="0"/>
        <v>170</v>
      </c>
      <c r="H18" s="2">
        <f t="shared" si="3"/>
        <v>463.5254993333333</v>
      </c>
      <c r="I18" s="2">
        <f t="shared" si="1"/>
        <v>284.32328512500004</v>
      </c>
      <c r="J18" s="2">
        <f t="shared" si="1"/>
        <v>118.54285583333332</v>
      </c>
      <c r="K18" s="18">
        <f t="shared" si="4"/>
        <v>866.39164029166659</v>
      </c>
    </row>
    <row r="19" spans="1:11" x14ac:dyDescent="0.25">
      <c r="A19" s="16" t="s">
        <v>33</v>
      </c>
      <c r="B19" s="10">
        <f>+'Entrada de dades'!C27</f>
        <v>95</v>
      </c>
      <c r="C19" s="10">
        <f>+'Entrada de dades'!D27</f>
        <v>95</v>
      </c>
      <c r="D19" s="10">
        <f>+'Entrada de dades'!E27</f>
        <v>65</v>
      </c>
      <c r="E19" s="5">
        <f t="shared" si="2"/>
        <v>95</v>
      </c>
      <c r="F19" s="5">
        <f t="shared" si="0"/>
        <v>95</v>
      </c>
      <c r="G19" s="5">
        <f t="shared" si="0"/>
        <v>170</v>
      </c>
      <c r="H19" s="6">
        <f t="shared" si="3"/>
        <v>468.45662166666665</v>
      </c>
      <c r="I19" s="6">
        <f t="shared" si="1"/>
        <v>288.88462125000001</v>
      </c>
      <c r="J19" s="6">
        <f t="shared" si="1"/>
        <v>118.54285583333332</v>
      </c>
      <c r="K19" s="19">
        <f>SUM(H19:J19)</f>
        <v>875.88409875000002</v>
      </c>
    </row>
    <row r="20" spans="1:11" ht="21" x14ac:dyDescent="0.35">
      <c r="A20" s="4"/>
      <c r="B20" s="5"/>
      <c r="C20" s="5"/>
      <c r="D20" s="5"/>
      <c r="E20" s="5"/>
      <c r="F20" s="5"/>
      <c r="G20" s="5"/>
      <c r="H20" s="11"/>
      <c r="I20" s="11"/>
      <c r="J20" s="20" t="s">
        <v>23</v>
      </c>
      <c r="K20" s="21">
        <f>SUBTOTAL(109,Taula1635[CP '[€/mes']])</f>
        <v>10036.357966958334</v>
      </c>
    </row>
    <row r="21" spans="1:11" x14ac:dyDescent="0.25">
      <c r="A21" s="4"/>
      <c r="B21" s="4"/>
      <c r="C21" s="4"/>
      <c r="D21" s="4"/>
      <c r="E21" s="4"/>
      <c r="F21" s="4"/>
      <c r="G21" s="4"/>
      <c r="H21" s="4"/>
      <c r="I21" s="4"/>
      <c r="J21" s="4"/>
      <c r="K21" s="4"/>
    </row>
    <row r="22" spans="1:11" x14ac:dyDescent="0.25">
      <c r="A22" s="4"/>
      <c r="B22" s="4"/>
      <c r="C22" s="4"/>
      <c r="D22" s="4"/>
      <c r="E22" s="4"/>
      <c r="F22" s="4"/>
      <c r="G22" s="4"/>
      <c r="H22" s="4"/>
      <c r="I22" s="4"/>
      <c r="J22" s="4"/>
      <c r="K22" s="4"/>
    </row>
    <row r="23" spans="1:11" ht="23.25" x14ac:dyDescent="0.35">
      <c r="A23" s="17" t="s">
        <v>81</v>
      </c>
      <c r="B23" s="4"/>
      <c r="C23" s="4"/>
      <c r="D23" s="4"/>
      <c r="E23" s="4"/>
      <c r="F23" s="4"/>
      <c r="G23" s="4"/>
      <c r="H23" s="4"/>
      <c r="I23" s="4"/>
      <c r="J23" s="4"/>
      <c r="K23" s="4"/>
    </row>
    <row r="24" spans="1:11" x14ac:dyDescent="0.25">
      <c r="A24" s="4"/>
      <c r="B24" s="4"/>
      <c r="C24" s="4"/>
      <c r="D24" s="4"/>
      <c r="E24" s="4"/>
      <c r="F24" s="4"/>
      <c r="G24" s="4"/>
      <c r="H24" s="4"/>
      <c r="I24" s="4"/>
      <c r="J24" s="4"/>
      <c r="K24" s="4"/>
    </row>
    <row r="25" spans="1:11" x14ac:dyDescent="0.25">
      <c r="A25" s="4"/>
      <c r="B25" s="1" t="s">
        <v>6</v>
      </c>
      <c r="C25" s="1" t="s">
        <v>7</v>
      </c>
      <c r="D25" s="1" t="s">
        <v>8</v>
      </c>
      <c r="E25" s="4"/>
      <c r="F25" s="4"/>
      <c r="G25" s="4"/>
      <c r="H25" s="1" t="s">
        <v>10</v>
      </c>
      <c r="I25" s="1" t="s">
        <v>11</v>
      </c>
      <c r="J25" s="1" t="s">
        <v>12</v>
      </c>
      <c r="K25" s="4"/>
    </row>
    <row r="26" spans="1:11" ht="21" x14ac:dyDescent="0.35">
      <c r="A26" s="4"/>
      <c r="B26" s="23">
        <v>89.523818841633513</v>
      </c>
      <c r="C26" s="23">
        <v>89.523818841633513</v>
      </c>
      <c r="D26" s="23">
        <v>89.523818841633528</v>
      </c>
      <c r="E26" s="4"/>
      <c r="F26" s="4"/>
      <c r="G26" s="4"/>
      <c r="H26" s="1">
        <f>Taula61239[cp1 '[€/kW any']]</f>
        <v>59.173468</v>
      </c>
      <c r="I26" s="1">
        <f>Taula61239[cp2 '[€/kW any']]</f>
        <v>36.490689000000003</v>
      </c>
      <c r="J26" s="1">
        <f>Taula61239[cp3 '[€/kW any']]</f>
        <v>8.3677309999999991</v>
      </c>
      <c r="K26" s="4"/>
    </row>
    <row r="27" spans="1:11" x14ac:dyDescent="0.25">
      <c r="A27" s="4"/>
      <c r="B27" s="5"/>
      <c r="C27" s="5"/>
      <c r="D27" s="5"/>
      <c r="E27" s="4"/>
      <c r="F27" s="4"/>
      <c r="G27" s="4"/>
      <c r="H27" s="4"/>
      <c r="I27" s="4"/>
      <c r="J27" s="4"/>
      <c r="K27" s="4"/>
    </row>
    <row r="28" spans="1:11" x14ac:dyDescent="0.25">
      <c r="A28" s="8" t="s">
        <v>9</v>
      </c>
      <c r="B28" s="9" t="s">
        <v>22</v>
      </c>
      <c r="C28" s="9" t="s">
        <v>21</v>
      </c>
      <c r="D28" s="9" t="s">
        <v>20</v>
      </c>
      <c r="E28" s="9" t="s">
        <v>19</v>
      </c>
      <c r="F28" s="9" t="s">
        <v>18</v>
      </c>
      <c r="G28" s="9" t="s">
        <v>17</v>
      </c>
      <c r="H28" s="9" t="s">
        <v>13</v>
      </c>
      <c r="I28" s="9" t="s">
        <v>14</v>
      </c>
      <c r="J28" s="9" t="s">
        <v>15</v>
      </c>
      <c r="K28" s="9" t="s">
        <v>16</v>
      </c>
    </row>
    <row r="29" spans="1:11" x14ac:dyDescent="0.25">
      <c r="A29" s="15" t="s">
        <v>25</v>
      </c>
      <c r="B29" s="14">
        <f t="shared" ref="B29:D40" si="5">+B8</f>
        <v>82</v>
      </c>
      <c r="C29" s="14">
        <f t="shared" si="5"/>
        <v>81</v>
      </c>
      <c r="D29" s="14">
        <f t="shared" si="5"/>
        <v>72</v>
      </c>
      <c r="E29" s="3">
        <f>+IF(B29&lt;(0.85*B$26),0.85*B$26,IF(B29&gt;(1.05*B$26),B29+2*(B29-1.05*B$26),B29))</f>
        <v>82</v>
      </c>
      <c r="F29" s="3">
        <f t="shared" ref="F29:G40" si="6">+IF(C29&lt;(0.85*C$26),0.85*C$26,IF(C29&gt;(1.05*C$26),C29+2*(C29-1.05*C$26),C29))</f>
        <v>81</v>
      </c>
      <c r="G29" s="3">
        <f t="shared" si="6"/>
        <v>76.095246015388497</v>
      </c>
      <c r="H29" s="2">
        <f>+H$26*E29/12</f>
        <v>404.35203133333334</v>
      </c>
      <c r="I29" s="2">
        <f t="shared" ref="I29:J40" si="7">+I$26*F29/12</f>
        <v>246.31215075000003</v>
      </c>
      <c r="J29" s="2">
        <f t="shared" si="7"/>
        <v>53.062045752966064</v>
      </c>
      <c r="K29" s="18">
        <f>SUM(H29:J29)</f>
        <v>703.72622783629936</v>
      </c>
    </row>
    <row r="30" spans="1:11" x14ac:dyDescent="0.25">
      <c r="A30" s="16" t="s">
        <v>26</v>
      </c>
      <c r="B30" s="10">
        <f t="shared" si="5"/>
        <v>20</v>
      </c>
      <c r="C30" s="10">
        <f t="shared" si="5"/>
        <v>80</v>
      </c>
      <c r="D30" s="10">
        <f t="shared" si="5"/>
        <v>70</v>
      </c>
      <c r="E30" s="7">
        <f t="shared" ref="E30:E40" si="8">+IF(B30&lt;(0.85*B$26),0.85*B$26,IF(B30&gt;(1.05*B$26),B30+2*(B30-1.05*B$26),B30))</f>
        <v>76.095246015388483</v>
      </c>
      <c r="F30" s="7">
        <f t="shared" si="6"/>
        <v>80</v>
      </c>
      <c r="G30" s="7">
        <f t="shared" si="6"/>
        <v>76.095246015388497</v>
      </c>
      <c r="H30" s="6">
        <f t="shared" ref="H30:H40" si="9">+H$26*E30/12</f>
        <v>375.2349670869765</v>
      </c>
      <c r="I30" s="6">
        <f t="shared" si="7"/>
        <v>243.27126000000001</v>
      </c>
      <c r="J30" s="6">
        <f t="shared" si="7"/>
        <v>53.062045752966064</v>
      </c>
      <c r="K30" s="19">
        <f t="shared" ref="K30:K40" si="10">SUM(H30:J30)</f>
        <v>671.56827283994255</v>
      </c>
    </row>
    <row r="31" spans="1:11" x14ac:dyDescent="0.25">
      <c r="A31" s="15" t="s">
        <v>0</v>
      </c>
      <c r="B31" s="14">
        <f t="shared" si="5"/>
        <v>80</v>
      </c>
      <c r="C31" s="14">
        <f t="shared" si="5"/>
        <v>80</v>
      </c>
      <c r="D31" s="14">
        <f t="shared" si="5"/>
        <v>56</v>
      </c>
      <c r="E31" s="3">
        <f t="shared" si="8"/>
        <v>80</v>
      </c>
      <c r="F31" s="3">
        <f t="shared" si="6"/>
        <v>80</v>
      </c>
      <c r="G31" s="3">
        <f t="shared" si="6"/>
        <v>76.095246015388497</v>
      </c>
      <c r="H31" s="2">
        <f t="shared" si="9"/>
        <v>394.4897866666667</v>
      </c>
      <c r="I31" s="2">
        <f t="shared" si="7"/>
        <v>243.27126000000001</v>
      </c>
      <c r="J31" s="2">
        <f t="shared" si="7"/>
        <v>53.062045752966064</v>
      </c>
      <c r="K31" s="18">
        <f t="shared" si="10"/>
        <v>690.82309241963276</v>
      </c>
    </row>
    <row r="32" spans="1:11" x14ac:dyDescent="0.25">
      <c r="A32" s="16" t="s">
        <v>27</v>
      </c>
      <c r="B32" s="10">
        <f t="shared" si="5"/>
        <v>90</v>
      </c>
      <c r="C32" s="10">
        <f t="shared" si="5"/>
        <v>80</v>
      </c>
      <c r="D32" s="10">
        <f t="shared" si="5"/>
        <v>56</v>
      </c>
      <c r="E32" s="7">
        <f t="shared" si="8"/>
        <v>90</v>
      </c>
      <c r="F32" s="7">
        <f t="shared" si="6"/>
        <v>80</v>
      </c>
      <c r="G32" s="7">
        <f t="shared" si="6"/>
        <v>76.095246015388497</v>
      </c>
      <c r="H32" s="6">
        <f t="shared" si="9"/>
        <v>443.80100999999996</v>
      </c>
      <c r="I32" s="6">
        <f t="shared" si="7"/>
        <v>243.27126000000001</v>
      </c>
      <c r="J32" s="6">
        <f t="shared" si="7"/>
        <v>53.062045752966064</v>
      </c>
      <c r="K32" s="19">
        <f t="shared" si="10"/>
        <v>740.13431575296602</v>
      </c>
    </row>
    <row r="33" spans="1:17" x14ac:dyDescent="0.25">
      <c r="A33" s="15" t="s">
        <v>1</v>
      </c>
      <c r="B33" s="14">
        <f t="shared" si="5"/>
        <v>55</v>
      </c>
      <c r="C33" s="14">
        <f t="shared" si="5"/>
        <v>55</v>
      </c>
      <c r="D33" s="14">
        <f t="shared" si="5"/>
        <v>55</v>
      </c>
      <c r="E33" s="3">
        <f t="shared" si="8"/>
        <v>76.095246015388483</v>
      </c>
      <c r="F33" s="3">
        <f t="shared" si="6"/>
        <v>76.095246015388483</v>
      </c>
      <c r="G33" s="3">
        <f t="shared" si="6"/>
        <v>76.095246015388497</v>
      </c>
      <c r="H33" s="2">
        <f t="shared" si="9"/>
        <v>375.2349670869765</v>
      </c>
      <c r="I33" s="2">
        <f t="shared" si="7"/>
        <v>231.39732972716922</v>
      </c>
      <c r="J33" s="2">
        <f t="shared" si="7"/>
        <v>53.062045752966064</v>
      </c>
      <c r="K33" s="18">
        <f t="shared" si="10"/>
        <v>659.69434256711179</v>
      </c>
    </row>
    <row r="34" spans="1:17" s="4" customFormat="1" x14ac:dyDescent="0.25">
      <c r="A34" s="16" t="s">
        <v>2</v>
      </c>
      <c r="B34" s="10">
        <f t="shared" si="5"/>
        <v>31</v>
      </c>
      <c r="C34" s="10">
        <f t="shared" si="5"/>
        <v>30</v>
      </c>
      <c r="D34" s="10">
        <f t="shared" si="5"/>
        <v>58</v>
      </c>
      <c r="E34" s="7">
        <f>+IF(B34&lt;(0.85*B$26),0.85*B$26,IF(B34&gt;(1.05*B$26),B34+2*(B34-1.05*B$26),B34))</f>
        <v>76.095246015388483</v>
      </c>
      <c r="F34" s="7">
        <f t="shared" si="6"/>
        <v>76.095246015388483</v>
      </c>
      <c r="G34" s="7">
        <f t="shared" si="6"/>
        <v>76.095246015388497</v>
      </c>
      <c r="H34" s="6">
        <f t="shared" si="9"/>
        <v>375.2349670869765</v>
      </c>
      <c r="I34" s="6">
        <f t="shared" si="7"/>
        <v>231.39732972716922</v>
      </c>
      <c r="J34" s="6">
        <f t="shared" si="7"/>
        <v>53.062045752966064</v>
      </c>
      <c r="K34" s="19">
        <f t="shared" si="10"/>
        <v>659.69434256711179</v>
      </c>
    </row>
    <row r="35" spans="1:17" x14ac:dyDescent="0.25">
      <c r="A35" s="15" t="s">
        <v>28</v>
      </c>
      <c r="B35" s="14">
        <f t="shared" si="5"/>
        <v>75</v>
      </c>
      <c r="C35" s="14">
        <f t="shared" si="5"/>
        <v>85</v>
      </c>
      <c r="D35" s="14">
        <f t="shared" si="5"/>
        <v>60</v>
      </c>
      <c r="E35" s="3">
        <f t="shared" si="8"/>
        <v>76.095246015388483</v>
      </c>
      <c r="F35" s="3">
        <f t="shared" si="6"/>
        <v>85</v>
      </c>
      <c r="G35" s="3">
        <f t="shared" si="6"/>
        <v>76.095246015388497</v>
      </c>
      <c r="H35" s="2">
        <f t="shared" si="9"/>
        <v>375.2349670869765</v>
      </c>
      <c r="I35" s="2">
        <f t="shared" si="7"/>
        <v>258.47571375000001</v>
      </c>
      <c r="J35" s="2">
        <f t="shared" si="7"/>
        <v>53.062045752966064</v>
      </c>
      <c r="K35" s="18">
        <f t="shared" si="10"/>
        <v>686.77272658994252</v>
      </c>
    </row>
    <row r="36" spans="1:17" x14ac:dyDescent="0.25">
      <c r="A36" s="16" t="s">
        <v>29</v>
      </c>
      <c r="B36" s="10">
        <f t="shared" si="5"/>
        <v>81</v>
      </c>
      <c r="C36" s="10">
        <f t="shared" si="5"/>
        <v>85</v>
      </c>
      <c r="D36" s="10">
        <f t="shared" si="5"/>
        <v>65</v>
      </c>
      <c r="E36" s="7">
        <f t="shared" si="8"/>
        <v>81</v>
      </c>
      <c r="F36" s="7">
        <f t="shared" si="6"/>
        <v>85</v>
      </c>
      <c r="G36" s="7">
        <f t="shared" si="6"/>
        <v>76.095246015388497</v>
      </c>
      <c r="H36" s="6">
        <f t="shared" si="9"/>
        <v>399.42090899999999</v>
      </c>
      <c r="I36" s="6">
        <f t="shared" si="7"/>
        <v>258.47571375000001</v>
      </c>
      <c r="J36" s="6">
        <f t="shared" si="7"/>
        <v>53.062045752966064</v>
      </c>
      <c r="K36" s="19">
        <f t="shared" si="10"/>
        <v>710.95866850296602</v>
      </c>
    </row>
    <row r="37" spans="1:17" x14ac:dyDescent="0.25">
      <c r="A37" s="15" t="s">
        <v>30</v>
      </c>
      <c r="B37" s="14">
        <f t="shared" si="5"/>
        <v>78</v>
      </c>
      <c r="C37" s="14">
        <f t="shared" si="5"/>
        <v>85</v>
      </c>
      <c r="D37" s="14">
        <f t="shared" si="5"/>
        <v>85</v>
      </c>
      <c r="E37" s="3">
        <f t="shared" si="8"/>
        <v>78</v>
      </c>
      <c r="F37" s="3">
        <f t="shared" si="6"/>
        <v>85</v>
      </c>
      <c r="G37" s="3">
        <f t="shared" si="6"/>
        <v>85</v>
      </c>
      <c r="H37" s="2">
        <f t="shared" si="9"/>
        <v>384.62754200000001</v>
      </c>
      <c r="I37" s="2">
        <f t="shared" si="7"/>
        <v>258.47571375000001</v>
      </c>
      <c r="J37" s="2">
        <f t="shared" si="7"/>
        <v>59.27142791666666</v>
      </c>
      <c r="K37" s="18">
        <f t="shared" si="10"/>
        <v>702.37468366666667</v>
      </c>
    </row>
    <row r="38" spans="1:17" x14ac:dyDescent="0.25">
      <c r="A38" s="16" t="s">
        <v>31</v>
      </c>
      <c r="B38" s="10">
        <f t="shared" si="5"/>
        <v>95</v>
      </c>
      <c r="C38" s="10">
        <f t="shared" si="5"/>
        <v>60</v>
      </c>
      <c r="D38" s="10">
        <f t="shared" si="5"/>
        <v>75</v>
      </c>
      <c r="E38" s="7">
        <f t="shared" si="8"/>
        <v>96.9999804325696</v>
      </c>
      <c r="F38" s="7">
        <f t="shared" si="6"/>
        <v>76.095246015388483</v>
      </c>
      <c r="G38" s="7">
        <f t="shared" si="6"/>
        <v>76.095246015388497</v>
      </c>
      <c r="H38" s="6">
        <f t="shared" si="9"/>
        <v>478.31876984394029</v>
      </c>
      <c r="I38" s="6">
        <f t="shared" si="7"/>
        <v>231.39732972716922</v>
      </c>
      <c r="J38" s="6">
        <f t="shared" si="7"/>
        <v>53.062045752966064</v>
      </c>
      <c r="K38" s="19">
        <f t="shared" si="10"/>
        <v>762.77814532407547</v>
      </c>
    </row>
    <row r="39" spans="1:17" x14ac:dyDescent="0.25">
      <c r="A39" s="15" t="s">
        <v>32</v>
      </c>
      <c r="B39" s="14">
        <f t="shared" si="5"/>
        <v>94</v>
      </c>
      <c r="C39" s="14">
        <f t="shared" si="5"/>
        <v>92</v>
      </c>
      <c r="D39" s="14">
        <f t="shared" si="5"/>
        <v>55</v>
      </c>
      <c r="E39" s="3">
        <f t="shared" si="8"/>
        <v>94</v>
      </c>
      <c r="F39" s="3">
        <f t="shared" si="6"/>
        <v>92</v>
      </c>
      <c r="G39" s="3">
        <f t="shared" si="6"/>
        <v>76.095246015388497</v>
      </c>
      <c r="H39" s="2">
        <f t="shared" si="9"/>
        <v>463.5254993333333</v>
      </c>
      <c r="I39" s="2">
        <f t="shared" si="7"/>
        <v>279.76194900000002</v>
      </c>
      <c r="J39" s="2">
        <f t="shared" si="7"/>
        <v>53.062045752966064</v>
      </c>
      <c r="K39" s="18">
        <f t="shared" si="10"/>
        <v>796.34949408629927</v>
      </c>
    </row>
    <row r="40" spans="1:17" x14ac:dyDescent="0.25">
      <c r="A40" s="16" t="s">
        <v>33</v>
      </c>
      <c r="B40" s="10">
        <f t="shared" si="5"/>
        <v>95</v>
      </c>
      <c r="C40" s="10">
        <f t="shared" si="5"/>
        <v>95</v>
      </c>
      <c r="D40" s="10">
        <f t="shared" si="5"/>
        <v>65</v>
      </c>
      <c r="E40" s="7">
        <f t="shared" si="8"/>
        <v>96.9999804325696</v>
      </c>
      <c r="F40" s="7">
        <f t="shared" si="6"/>
        <v>96.9999804325696</v>
      </c>
      <c r="G40" s="7">
        <f t="shared" si="6"/>
        <v>76.095246015388497</v>
      </c>
      <c r="H40" s="6">
        <f t="shared" si="9"/>
        <v>478.31876984394029</v>
      </c>
      <c r="I40" s="6">
        <f t="shared" si="7"/>
        <v>294.96634324758196</v>
      </c>
      <c r="J40" s="6">
        <f t="shared" si="7"/>
        <v>53.062045752966064</v>
      </c>
      <c r="K40" s="19">
        <f t="shared" si="10"/>
        <v>826.34715884448826</v>
      </c>
    </row>
    <row r="41" spans="1:17" ht="21" x14ac:dyDescent="0.35">
      <c r="A41" s="4"/>
      <c r="B41" s="5"/>
      <c r="C41" s="5"/>
      <c r="D41" s="5"/>
      <c r="E41" s="7"/>
      <c r="F41" s="7"/>
      <c r="G41" s="7"/>
      <c r="H41" s="11"/>
      <c r="I41" s="11"/>
      <c r="J41" s="20" t="s">
        <v>24</v>
      </c>
      <c r="K41" s="21">
        <f>SUBTOTAL(109,Taula2936[CP '[€/mes']])</f>
        <v>8611.2214709975033</v>
      </c>
    </row>
    <row r="42" spans="1:17" x14ac:dyDescent="0.25">
      <c r="A42" s="4"/>
      <c r="B42" s="4"/>
      <c r="C42" s="4"/>
      <c r="D42" s="4"/>
      <c r="E42" s="4"/>
      <c r="F42" s="4"/>
      <c r="G42" s="4"/>
      <c r="H42" s="4"/>
      <c r="I42" s="4"/>
      <c r="J42" s="4"/>
      <c r="K42" s="4"/>
    </row>
    <row r="43" spans="1:17" x14ac:dyDescent="0.25">
      <c r="A43" s="4"/>
      <c r="B43" s="4"/>
      <c r="C43" s="4"/>
      <c r="D43" s="4"/>
      <c r="E43" s="4"/>
      <c r="F43" s="4"/>
      <c r="G43" s="4"/>
      <c r="H43" s="4"/>
      <c r="I43" s="4"/>
      <c r="J43" s="4"/>
      <c r="K43" s="4"/>
    </row>
    <row r="44" spans="1:17" ht="23.25" x14ac:dyDescent="0.35">
      <c r="A44" s="4"/>
      <c r="B44" s="4"/>
      <c r="C44" s="4"/>
      <c r="D44" s="4"/>
      <c r="E44" s="4"/>
      <c r="F44" s="4"/>
      <c r="G44" s="4"/>
      <c r="H44" s="4"/>
      <c r="I44" s="4"/>
      <c r="J44" s="24" t="s">
        <v>34</v>
      </c>
      <c r="K44" s="25">
        <f>K20-K41</f>
        <v>1425.1364959608309</v>
      </c>
    </row>
    <row r="45" spans="1:17" ht="23.25" x14ac:dyDescent="0.35">
      <c r="A45" s="4"/>
      <c r="B45" s="4"/>
      <c r="C45" s="4"/>
      <c r="D45" s="4"/>
      <c r="E45" s="4"/>
      <c r="F45" s="4"/>
      <c r="G45" s="4"/>
      <c r="H45" s="4"/>
      <c r="I45" s="4"/>
      <c r="J45" s="26"/>
      <c r="K45" s="26"/>
    </row>
    <row r="46" spans="1:17" ht="23.25" x14ac:dyDescent="0.35">
      <c r="A46" s="4"/>
      <c r="B46" s="4"/>
      <c r="C46" s="4"/>
      <c r="D46" s="4"/>
      <c r="E46" s="4"/>
      <c r="F46" s="4"/>
      <c r="G46" s="4"/>
      <c r="H46" s="4"/>
      <c r="I46" s="4"/>
      <c r="J46" s="24" t="s">
        <v>35</v>
      </c>
      <c r="K46" s="25">
        <v>-79.491969999999995</v>
      </c>
    </row>
    <row r="47" spans="1:17" ht="23.25" x14ac:dyDescent="0.35">
      <c r="A47" s="4"/>
      <c r="B47" s="4"/>
      <c r="C47" s="4"/>
      <c r="D47" s="4"/>
      <c r="E47" s="4"/>
      <c r="F47" s="4"/>
      <c r="G47" s="4"/>
      <c r="H47" s="4"/>
      <c r="I47" s="4"/>
      <c r="J47" s="24" t="s">
        <v>38</v>
      </c>
      <c r="K47" s="99">
        <f>IF(OR((Taula41138[PCO1]-Taula31037[PC1])&gt;0,(Taula41138[PCO2]-Taula31037[PC2])&gt;0,(Taula41138[PCO3]-Taula31037[PC3])&gt;0),-MAX((Taula41138[PCO1]-Taula31037[PC1]),(Taula41138[PCO2]-Taula31037[PC2]),(Taula41138[PCO3]-Taula31037[PC3]))*17.374714,0)</f>
        <v>0</v>
      </c>
      <c r="O47" s="54"/>
      <c r="P47" s="54"/>
      <c r="Q47" s="54"/>
    </row>
    <row r="48" spans="1:17" ht="23.25" x14ac:dyDescent="0.35">
      <c r="A48" s="4"/>
      <c r="B48" s="4"/>
      <c r="C48" s="4"/>
      <c r="D48" s="4"/>
      <c r="E48" s="4"/>
      <c r="F48" s="4"/>
      <c r="G48" s="4"/>
      <c r="H48" s="4"/>
      <c r="I48" s="4"/>
      <c r="J48" s="24" t="s">
        <v>39</v>
      </c>
      <c r="K48" s="99">
        <f>IF(OR((Taula41138[PCO1]-Taula31037[PC1])&gt;0,(Taula41138[PCO2]-Taula31037[PC2])&gt;0,(Taula41138[PCO3]-Taula31037[PC3])&gt;0),-MAX((Taula41138[PCO1]-Taula31037[PC1]),(Taula41138[PCO2]-Taula31037[PC2]),(Taula41138[PCO3]-Taula31037[PC3]))*16.992541,0)</f>
        <v>0</v>
      </c>
    </row>
    <row r="49" spans="1:11" ht="23.25" x14ac:dyDescent="0.35">
      <c r="A49" s="4"/>
      <c r="B49" s="4"/>
      <c r="C49" s="4"/>
      <c r="D49" s="4"/>
      <c r="E49" s="4"/>
      <c r="F49" s="4"/>
      <c r="G49" s="4"/>
      <c r="H49" s="4"/>
      <c r="I49" s="4"/>
      <c r="J49" s="24"/>
      <c r="K49" s="27"/>
    </row>
    <row r="50" spans="1:11" ht="23.25" x14ac:dyDescent="0.35">
      <c r="A50" s="4"/>
      <c r="B50" s="4"/>
      <c r="C50" s="4"/>
      <c r="D50" s="4"/>
      <c r="E50" s="4"/>
      <c r="F50" s="4"/>
      <c r="G50" s="4"/>
      <c r="H50" s="4"/>
      <c r="I50" s="4"/>
      <c r="J50" s="24" t="s">
        <v>36</v>
      </c>
      <c r="K50" s="28" t="s">
        <v>37</v>
      </c>
    </row>
    <row r="51" spans="1:11" x14ac:dyDescent="0.25">
      <c r="A51" s="4"/>
      <c r="B51" s="4"/>
      <c r="C51" s="4"/>
      <c r="D51" s="4"/>
      <c r="E51" s="4"/>
      <c r="F51" s="4"/>
      <c r="G51" s="4"/>
      <c r="H51" s="4"/>
      <c r="I51" s="4"/>
      <c r="J51" s="4"/>
      <c r="K51" s="4"/>
    </row>
    <row r="52" spans="1:11" ht="21" x14ac:dyDescent="0.25">
      <c r="A52" s="4"/>
      <c r="B52" s="4"/>
      <c r="C52" s="4"/>
      <c r="D52" s="4"/>
      <c r="E52" s="4"/>
      <c r="F52" s="4"/>
      <c r="G52" s="4"/>
      <c r="H52" s="4"/>
      <c r="I52" s="4"/>
      <c r="J52" s="13"/>
      <c r="K52" s="12"/>
    </row>
  </sheetData>
  <conditionalFormatting sqref="K8:K19">
    <cfRule type="colorScale" priority="3">
      <colorScale>
        <cfvo type="min"/>
        <cfvo type="percentile" val="50"/>
        <cfvo type="max"/>
        <color rgb="FF63BE7B"/>
        <color rgb="FFFFEB84"/>
        <color rgb="FFF8696B"/>
      </colorScale>
    </cfRule>
  </conditionalFormatting>
  <conditionalFormatting sqref="K29:K40">
    <cfRule type="colorScale" priority="2">
      <colorScale>
        <cfvo type="min"/>
        <cfvo type="percentile" val="50"/>
        <cfvo type="max"/>
        <color rgb="FF63BE7B"/>
        <color rgb="FFFFEB84"/>
        <color rgb="FFF8696B"/>
      </colorScale>
    </cfRule>
  </conditionalFormatting>
  <conditionalFormatting sqref="K8:K19 K29:K40">
    <cfRule type="colorScale" priority="1">
      <colorScale>
        <cfvo type="min"/>
        <cfvo type="percentile" val="50"/>
        <cfvo type="max"/>
        <color rgb="FF63BE7B"/>
        <color rgb="FFFFEB84"/>
        <color rgb="FFF8696B"/>
      </colorScale>
    </cfRule>
  </conditionalFormatting>
  <pageMargins left="0.7" right="0.7" top="0.75" bottom="0.75" header="0.3" footer="0.3"/>
  <tableParts count="6">
    <tablePart r:id="rId1"/>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ull7"/>
  <dimension ref="A1:Q52"/>
  <sheetViews>
    <sheetView zoomScale="85" zoomScaleNormal="85" workbookViewId="0">
      <selection activeCell="I47" sqref="I47"/>
    </sheetView>
  </sheetViews>
  <sheetFormatPr defaultRowHeight="15" x14ac:dyDescent="0.25"/>
  <cols>
    <col min="1" max="1" width="12.85546875" customWidth="1"/>
    <col min="2" max="10" width="13.85546875" customWidth="1"/>
    <col min="11" max="11" width="17.5703125" customWidth="1"/>
  </cols>
  <sheetData>
    <row r="1" spans="1:11" x14ac:dyDescent="0.25">
      <c r="A1" s="4"/>
      <c r="B1" s="4"/>
      <c r="C1" s="4"/>
      <c r="D1" s="4"/>
      <c r="E1" s="4"/>
      <c r="F1" s="4"/>
      <c r="G1" s="4"/>
      <c r="H1" s="4"/>
      <c r="I1" s="4"/>
      <c r="J1" s="4"/>
      <c r="K1" s="4"/>
    </row>
    <row r="2" spans="1:11" ht="23.25" x14ac:dyDescent="0.35">
      <c r="A2" s="17" t="s">
        <v>80</v>
      </c>
      <c r="B2" s="4"/>
      <c r="C2" s="4"/>
      <c r="D2" s="4"/>
      <c r="E2" s="4"/>
      <c r="F2" s="4"/>
      <c r="G2" s="4"/>
      <c r="H2" s="4"/>
      <c r="I2" s="4"/>
      <c r="J2" s="4"/>
      <c r="K2" s="4"/>
    </row>
    <row r="3" spans="1:11" x14ac:dyDescent="0.25">
      <c r="A3" s="4"/>
      <c r="B3" s="4"/>
      <c r="C3" s="4"/>
      <c r="D3" s="4"/>
      <c r="E3" s="4"/>
      <c r="F3" s="4"/>
      <c r="G3" s="4"/>
      <c r="H3" s="4"/>
      <c r="I3" s="4"/>
      <c r="J3" s="4"/>
      <c r="K3" s="4"/>
    </row>
    <row r="4" spans="1:11" x14ac:dyDescent="0.25">
      <c r="A4" s="4"/>
      <c r="B4" s="1" t="s">
        <v>3</v>
      </c>
      <c r="C4" s="1" t="s">
        <v>4</v>
      </c>
      <c r="D4" s="1" t="s">
        <v>5</v>
      </c>
      <c r="E4" s="4"/>
      <c r="F4" s="4"/>
      <c r="G4" s="4"/>
      <c r="H4" s="1" t="s">
        <v>10</v>
      </c>
      <c r="I4" s="1" t="s">
        <v>11</v>
      </c>
      <c r="J4" s="1" t="s">
        <v>12</v>
      </c>
      <c r="K4" s="4"/>
    </row>
    <row r="5" spans="1:11" ht="21" x14ac:dyDescent="0.35">
      <c r="A5" s="4"/>
      <c r="B5" s="22">
        <f>+'Entrada de dades'!C11</f>
        <v>100</v>
      </c>
      <c r="C5" s="22">
        <f>+'Entrada de dades'!D11</f>
        <v>110</v>
      </c>
      <c r="D5" s="22">
        <f>+'Entrada de dades'!E11</f>
        <v>200</v>
      </c>
      <c r="E5" s="4"/>
      <c r="F5" s="4"/>
      <c r="G5" s="4"/>
      <c r="H5" s="1">
        <f>'Entrada de dades'!D3</f>
        <v>59.173468</v>
      </c>
      <c r="I5" s="1">
        <f>'Entrada de dades'!E3</f>
        <v>36.490689000000003</v>
      </c>
      <c r="J5" s="1">
        <f>'Entrada de dades'!F3</f>
        <v>8.3677309999999991</v>
      </c>
      <c r="K5" s="4"/>
    </row>
    <row r="6" spans="1:11" x14ac:dyDescent="0.25">
      <c r="A6" s="4"/>
      <c r="B6" s="5"/>
      <c r="C6" s="5"/>
      <c r="D6" s="5"/>
      <c r="E6" s="4"/>
      <c r="F6" s="4"/>
      <c r="G6" s="4"/>
      <c r="H6" s="4"/>
      <c r="I6" s="4"/>
      <c r="J6" s="4"/>
      <c r="K6" s="4"/>
    </row>
    <row r="7" spans="1:11" x14ac:dyDescent="0.25">
      <c r="A7" s="8" t="s">
        <v>9</v>
      </c>
      <c r="B7" s="9" t="s">
        <v>22</v>
      </c>
      <c r="C7" s="9" t="s">
        <v>21</v>
      </c>
      <c r="D7" s="9" t="s">
        <v>20</v>
      </c>
      <c r="E7" s="9" t="s">
        <v>19</v>
      </c>
      <c r="F7" s="9" t="s">
        <v>18</v>
      </c>
      <c r="G7" s="9" t="s">
        <v>17</v>
      </c>
      <c r="H7" s="9" t="s">
        <v>13</v>
      </c>
      <c r="I7" s="9" t="s">
        <v>14</v>
      </c>
      <c r="J7" s="9" t="s">
        <v>15</v>
      </c>
      <c r="K7" s="9" t="s">
        <v>16</v>
      </c>
    </row>
    <row r="8" spans="1:11" x14ac:dyDescent="0.25">
      <c r="A8" s="15" t="s">
        <v>25</v>
      </c>
      <c r="B8" s="14">
        <f>+'Entrada de dades'!C16</f>
        <v>82</v>
      </c>
      <c r="C8" s="14">
        <f>+'Entrada de dades'!D16</f>
        <v>81</v>
      </c>
      <c r="D8" s="14">
        <f>+'Entrada de dades'!E16</f>
        <v>72</v>
      </c>
      <c r="E8" s="1">
        <f>+IF(B8&lt;(0.85*B$5),0.85*B$5,IF(B8&gt;(1.05*B$5),B8+2*(B8-1.05*B$5),B8))</f>
        <v>85</v>
      </c>
      <c r="F8" s="1">
        <f t="shared" ref="F8:G19" si="0">+IF(C8&lt;(0.85*C$5),0.85*C$5,IF(C8&gt;(1.05*C$5),C8+2*(C8-1.05*C$5),C8))</f>
        <v>93.5</v>
      </c>
      <c r="G8" s="1">
        <f t="shared" si="0"/>
        <v>170</v>
      </c>
      <c r="H8" s="2">
        <f>+H$5*E8/12</f>
        <v>419.14539833333333</v>
      </c>
      <c r="I8" s="2">
        <f t="shared" ref="I8:J19" si="1">+I$5*F8/12</f>
        <v>284.32328512500004</v>
      </c>
      <c r="J8" s="2">
        <f t="shared" si="1"/>
        <v>118.54285583333332</v>
      </c>
      <c r="K8" s="18">
        <f>SUM(H8:J8)</f>
        <v>822.01153929166662</v>
      </c>
    </row>
    <row r="9" spans="1:11" x14ac:dyDescent="0.25">
      <c r="A9" s="16" t="s">
        <v>26</v>
      </c>
      <c r="B9" s="10">
        <f>+'Entrada de dades'!C17</f>
        <v>20</v>
      </c>
      <c r="C9" s="10">
        <f>+'Entrada de dades'!D17</f>
        <v>80</v>
      </c>
      <c r="D9" s="10">
        <f>+'Entrada de dades'!E17</f>
        <v>70</v>
      </c>
      <c r="E9" s="5">
        <f t="shared" ref="E9:E19" si="2">+IF(B9&lt;(0.85*B$5),0.85*B$5,IF(B9&gt;(1.05*B$5),B9+2*(B9-1.05*B$5),B9))</f>
        <v>85</v>
      </c>
      <c r="F9" s="5">
        <f t="shared" si="0"/>
        <v>93.5</v>
      </c>
      <c r="G9" s="5">
        <f t="shared" si="0"/>
        <v>170</v>
      </c>
      <c r="H9" s="6">
        <f t="shared" ref="H9:H19" si="3">+H$5*E9/12</f>
        <v>419.14539833333333</v>
      </c>
      <c r="I9" s="6">
        <f t="shared" si="1"/>
        <v>284.32328512500004</v>
      </c>
      <c r="J9" s="6">
        <f t="shared" si="1"/>
        <v>118.54285583333332</v>
      </c>
      <c r="K9" s="19">
        <f t="shared" ref="K9:K18" si="4">SUM(H9:J9)</f>
        <v>822.01153929166662</v>
      </c>
    </row>
    <row r="10" spans="1:11" x14ac:dyDescent="0.25">
      <c r="A10" s="15" t="s">
        <v>0</v>
      </c>
      <c r="B10" s="14">
        <f>+'Entrada de dades'!C18</f>
        <v>80</v>
      </c>
      <c r="C10" s="14">
        <f>+'Entrada de dades'!D18</f>
        <v>80</v>
      </c>
      <c r="D10" s="14">
        <f>+'Entrada de dades'!E18</f>
        <v>56</v>
      </c>
      <c r="E10" s="1">
        <f t="shared" si="2"/>
        <v>85</v>
      </c>
      <c r="F10" s="1">
        <f t="shared" si="0"/>
        <v>93.5</v>
      </c>
      <c r="G10" s="1">
        <f t="shared" si="0"/>
        <v>170</v>
      </c>
      <c r="H10" s="2">
        <f t="shared" si="3"/>
        <v>419.14539833333333</v>
      </c>
      <c r="I10" s="2">
        <f t="shared" si="1"/>
        <v>284.32328512500004</v>
      </c>
      <c r="J10" s="2">
        <f t="shared" si="1"/>
        <v>118.54285583333332</v>
      </c>
      <c r="K10" s="18">
        <f t="shared" si="4"/>
        <v>822.01153929166662</v>
      </c>
    </row>
    <row r="11" spans="1:11" x14ac:dyDescent="0.25">
      <c r="A11" s="16" t="s">
        <v>27</v>
      </c>
      <c r="B11" s="10">
        <f>+'Entrada de dades'!C19</f>
        <v>90</v>
      </c>
      <c r="C11" s="10">
        <f>+'Entrada de dades'!D19</f>
        <v>80</v>
      </c>
      <c r="D11" s="10">
        <f>+'Entrada de dades'!E19</f>
        <v>56</v>
      </c>
      <c r="E11" s="5">
        <f t="shared" si="2"/>
        <v>90</v>
      </c>
      <c r="F11" s="5">
        <f t="shared" si="0"/>
        <v>93.5</v>
      </c>
      <c r="G11" s="5">
        <f t="shared" si="0"/>
        <v>170</v>
      </c>
      <c r="H11" s="6">
        <f t="shared" si="3"/>
        <v>443.80100999999996</v>
      </c>
      <c r="I11" s="6">
        <f t="shared" si="1"/>
        <v>284.32328512500004</v>
      </c>
      <c r="J11" s="6">
        <f t="shared" si="1"/>
        <v>118.54285583333332</v>
      </c>
      <c r="K11" s="19">
        <f t="shared" si="4"/>
        <v>846.66715095833331</v>
      </c>
    </row>
    <row r="12" spans="1:11" x14ac:dyDescent="0.25">
      <c r="A12" s="15" t="s">
        <v>1</v>
      </c>
      <c r="B12" s="14">
        <f>+'Entrada de dades'!C20</f>
        <v>55</v>
      </c>
      <c r="C12" s="14">
        <f>+'Entrada de dades'!D20</f>
        <v>55</v>
      </c>
      <c r="D12" s="14">
        <f>+'Entrada de dades'!E20</f>
        <v>55</v>
      </c>
      <c r="E12" s="1">
        <f t="shared" si="2"/>
        <v>85</v>
      </c>
      <c r="F12" s="1">
        <f t="shared" si="0"/>
        <v>93.5</v>
      </c>
      <c r="G12" s="1">
        <f t="shared" si="0"/>
        <v>170</v>
      </c>
      <c r="H12" s="2">
        <f t="shared" si="3"/>
        <v>419.14539833333333</v>
      </c>
      <c r="I12" s="2">
        <f t="shared" si="1"/>
        <v>284.32328512500004</v>
      </c>
      <c r="J12" s="2">
        <f t="shared" si="1"/>
        <v>118.54285583333332</v>
      </c>
      <c r="K12" s="18">
        <f t="shared" si="4"/>
        <v>822.01153929166662</v>
      </c>
    </row>
    <row r="13" spans="1:11" x14ac:dyDescent="0.25">
      <c r="A13" s="16" t="s">
        <v>2</v>
      </c>
      <c r="B13" s="10">
        <f>+'Entrada de dades'!C21</f>
        <v>31</v>
      </c>
      <c r="C13" s="10">
        <f>+'Entrada de dades'!D21</f>
        <v>30</v>
      </c>
      <c r="D13" s="10">
        <f>+'Entrada de dades'!E21</f>
        <v>58</v>
      </c>
      <c r="E13" s="5">
        <f t="shared" si="2"/>
        <v>85</v>
      </c>
      <c r="F13" s="5">
        <f t="shared" si="0"/>
        <v>93.5</v>
      </c>
      <c r="G13" s="5">
        <f t="shared" si="0"/>
        <v>170</v>
      </c>
      <c r="H13" s="6">
        <f t="shared" si="3"/>
        <v>419.14539833333333</v>
      </c>
      <c r="I13" s="6">
        <f t="shared" si="1"/>
        <v>284.32328512500004</v>
      </c>
      <c r="J13" s="6">
        <f t="shared" si="1"/>
        <v>118.54285583333332</v>
      </c>
      <c r="K13" s="19">
        <f t="shared" si="4"/>
        <v>822.01153929166662</v>
      </c>
    </row>
    <row r="14" spans="1:11" x14ac:dyDescent="0.25">
      <c r="A14" s="15" t="s">
        <v>28</v>
      </c>
      <c r="B14" s="14">
        <f>+'Entrada de dades'!C22</f>
        <v>75</v>
      </c>
      <c r="C14" s="14">
        <f>+'Entrada de dades'!D22</f>
        <v>85</v>
      </c>
      <c r="D14" s="14">
        <f>+'Entrada de dades'!E22</f>
        <v>60</v>
      </c>
      <c r="E14" s="1">
        <f t="shared" si="2"/>
        <v>85</v>
      </c>
      <c r="F14" s="1">
        <f t="shared" si="0"/>
        <v>93.5</v>
      </c>
      <c r="G14" s="1">
        <f t="shared" si="0"/>
        <v>170</v>
      </c>
      <c r="H14" s="2">
        <f t="shared" si="3"/>
        <v>419.14539833333333</v>
      </c>
      <c r="I14" s="2">
        <f t="shared" si="1"/>
        <v>284.32328512500004</v>
      </c>
      <c r="J14" s="2">
        <f t="shared" si="1"/>
        <v>118.54285583333332</v>
      </c>
      <c r="K14" s="18">
        <f t="shared" si="4"/>
        <v>822.01153929166662</v>
      </c>
    </row>
    <row r="15" spans="1:11" x14ac:dyDescent="0.25">
      <c r="A15" s="16" t="s">
        <v>29</v>
      </c>
      <c r="B15" s="10">
        <f>+'Entrada de dades'!C23</f>
        <v>81</v>
      </c>
      <c r="C15" s="10">
        <f>+'Entrada de dades'!D23</f>
        <v>85</v>
      </c>
      <c r="D15" s="10">
        <f>+'Entrada de dades'!E23</f>
        <v>65</v>
      </c>
      <c r="E15" s="5">
        <f t="shared" si="2"/>
        <v>85</v>
      </c>
      <c r="F15" s="5">
        <f t="shared" si="0"/>
        <v>93.5</v>
      </c>
      <c r="G15" s="5">
        <f t="shared" si="0"/>
        <v>170</v>
      </c>
      <c r="H15" s="6">
        <f t="shared" si="3"/>
        <v>419.14539833333333</v>
      </c>
      <c r="I15" s="6">
        <f t="shared" si="1"/>
        <v>284.32328512500004</v>
      </c>
      <c r="J15" s="6">
        <f t="shared" si="1"/>
        <v>118.54285583333332</v>
      </c>
      <c r="K15" s="19">
        <f t="shared" si="4"/>
        <v>822.01153929166662</v>
      </c>
    </row>
    <row r="16" spans="1:11" x14ac:dyDescent="0.25">
      <c r="A16" s="15" t="s">
        <v>30</v>
      </c>
      <c r="B16" s="14">
        <f>+'Entrada de dades'!C24</f>
        <v>78</v>
      </c>
      <c r="C16" s="14">
        <f>+'Entrada de dades'!D24</f>
        <v>85</v>
      </c>
      <c r="D16" s="14">
        <f>+'Entrada de dades'!E24</f>
        <v>85</v>
      </c>
      <c r="E16" s="1">
        <f t="shared" si="2"/>
        <v>85</v>
      </c>
      <c r="F16" s="1">
        <f t="shared" si="0"/>
        <v>93.5</v>
      </c>
      <c r="G16" s="1">
        <f t="shared" si="0"/>
        <v>170</v>
      </c>
      <c r="H16" s="2">
        <f t="shared" si="3"/>
        <v>419.14539833333333</v>
      </c>
      <c r="I16" s="2">
        <f t="shared" si="1"/>
        <v>284.32328512500004</v>
      </c>
      <c r="J16" s="2">
        <f t="shared" si="1"/>
        <v>118.54285583333332</v>
      </c>
      <c r="K16" s="18">
        <f t="shared" si="4"/>
        <v>822.01153929166662</v>
      </c>
    </row>
    <row r="17" spans="1:11" x14ac:dyDescent="0.25">
      <c r="A17" s="16" t="s">
        <v>31</v>
      </c>
      <c r="B17" s="10">
        <f>+'Entrada de dades'!C25</f>
        <v>95</v>
      </c>
      <c r="C17" s="10">
        <f>+'Entrada de dades'!D25</f>
        <v>60</v>
      </c>
      <c r="D17" s="10">
        <f>+'Entrada de dades'!E25</f>
        <v>75</v>
      </c>
      <c r="E17" s="5">
        <f t="shared" si="2"/>
        <v>95</v>
      </c>
      <c r="F17" s="5">
        <f>+IF(C17&lt;(0.85*C$5),0.85*C$5,IF(C17&gt;(1.05*C$5),C17+2*(C17-1.05*C$5),C17))</f>
        <v>93.5</v>
      </c>
      <c r="G17" s="5">
        <f t="shared" si="0"/>
        <v>170</v>
      </c>
      <c r="H17" s="6">
        <f t="shared" si="3"/>
        <v>468.45662166666665</v>
      </c>
      <c r="I17" s="6">
        <f t="shared" si="1"/>
        <v>284.32328512500004</v>
      </c>
      <c r="J17" s="6">
        <f t="shared" si="1"/>
        <v>118.54285583333332</v>
      </c>
      <c r="K17" s="19">
        <f t="shared" si="4"/>
        <v>871.322762625</v>
      </c>
    </row>
    <row r="18" spans="1:11" x14ac:dyDescent="0.25">
      <c r="A18" s="15" t="s">
        <v>32</v>
      </c>
      <c r="B18" s="14">
        <f>+'Entrada de dades'!C26</f>
        <v>94</v>
      </c>
      <c r="C18" s="14">
        <f>+'Entrada de dades'!D26</f>
        <v>92</v>
      </c>
      <c r="D18" s="14">
        <f>+'Entrada de dades'!E26</f>
        <v>55</v>
      </c>
      <c r="E18" s="1">
        <f t="shared" si="2"/>
        <v>94</v>
      </c>
      <c r="F18" s="1">
        <f t="shared" si="0"/>
        <v>93.5</v>
      </c>
      <c r="G18" s="1">
        <f t="shared" si="0"/>
        <v>170</v>
      </c>
      <c r="H18" s="2">
        <f t="shared" si="3"/>
        <v>463.5254993333333</v>
      </c>
      <c r="I18" s="2">
        <f t="shared" si="1"/>
        <v>284.32328512500004</v>
      </c>
      <c r="J18" s="2">
        <f t="shared" si="1"/>
        <v>118.54285583333332</v>
      </c>
      <c r="K18" s="18">
        <f t="shared" si="4"/>
        <v>866.39164029166659</v>
      </c>
    </row>
    <row r="19" spans="1:11" x14ac:dyDescent="0.25">
      <c r="A19" s="16" t="s">
        <v>33</v>
      </c>
      <c r="B19" s="10">
        <f>+'Entrada de dades'!C27</f>
        <v>95</v>
      </c>
      <c r="C19" s="10">
        <f>+'Entrada de dades'!D27</f>
        <v>95</v>
      </c>
      <c r="D19" s="10">
        <f>+'Entrada de dades'!E27</f>
        <v>65</v>
      </c>
      <c r="E19" s="5">
        <f t="shared" si="2"/>
        <v>95</v>
      </c>
      <c r="F19" s="5">
        <f t="shared" si="0"/>
        <v>95</v>
      </c>
      <c r="G19" s="5">
        <f t="shared" si="0"/>
        <v>170</v>
      </c>
      <c r="H19" s="6">
        <f t="shared" si="3"/>
        <v>468.45662166666665</v>
      </c>
      <c r="I19" s="6">
        <f t="shared" si="1"/>
        <v>288.88462125000001</v>
      </c>
      <c r="J19" s="6">
        <f t="shared" si="1"/>
        <v>118.54285583333332</v>
      </c>
      <c r="K19" s="19">
        <f>SUM(H19:J19)</f>
        <v>875.88409875000002</v>
      </c>
    </row>
    <row r="20" spans="1:11" ht="21" x14ac:dyDescent="0.35">
      <c r="A20" s="4"/>
      <c r="B20" s="5"/>
      <c r="C20" s="5"/>
      <c r="D20" s="5"/>
      <c r="E20" s="5"/>
      <c r="F20" s="5"/>
      <c r="G20" s="5"/>
      <c r="H20" s="11"/>
      <c r="I20" s="11"/>
      <c r="J20" s="20" t="s">
        <v>23</v>
      </c>
      <c r="K20" s="21">
        <f>SUBTOTAL(109,Taula16[CP '[€/mes']])</f>
        <v>10036.357966958334</v>
      </c>
    </row>
    <row r="21" spans="1:11" x14ac:dyDescent="0.25">
      <c r="A21" s="4"/>
      <c r="B21" s="4"/>
      <c r="C21" s="4"/>
      <c r="D21" s="4"/>
      <c r="E21" s="4"/>
      <c r="F21" s="4"/>
      <c r="G21" s="4"/>
      <c r="H21" s="4"/>
      <c r="I21" s="4"/>
      <c r="J21" s="4"/>
      <c r="K21" s="4"/>
    </row>
    <row r="22" spans="1:11" x14ac:dyDescent="0.25">
      <c r="A22" s="4"/>
      <c r="B22" s="4"/>
      <c r="C22" s="4"/>
      <c r="D22" s="4"/>
      <c r="E22" s="4"/>
      <c r="F22" s="4"/>
      <c r="G22" s="4"/>
      <c r="H22" s="4"/>
      <c r="I22" s="4"/>
      <c r="J22" s="4"/>
      <c r="K22" s="4"/>
    </row>
    <row r="23" spans="1:11" ht="23.25" x14ac:dyDescent="0.35">
      <c r="A23" s="17" t="s">
        <v>81</v>
      </c>
      <c r="B23" s="4"/>
      <c r="C23" s="4"/>
      <c r="D23" s="4"/>
      <c r="E23" s="4"/>
      <c r="F23" s="4"/>
      <c r="G23" s="4"/>
      <c r="H23" s="4"/>
      <c r="I23" s="4"/>
      <c r="J23" s="4"/>
      <c r="K23" s="4"/>
    </row>
    <row r="24" spans="1:11" x14ac:dyDescent="0.25">
      <c r="A24" s="4"/>
      <c r="B24" s="4"/>
      <c r="C24" s="4"/>
      <c r="D24" s="4"/>
      <c r="E24" s="4"/>
      <c r="F24" s="4"/>
      <c r="G24" s="4"/>
      <c r="H24" s="4"/>
      <c r="I24" s="4"/>
      <c r="J24" s="4"/>
      <c r="K24" s="4"/>
    </row>
    <row r="25" spans="1:11" x14ac:dyDescent="0.25">
      <c r="A25" s="4"/>
      <c r="B25" s="1" t="s">
        <v>6</v>
      </c>
      <c r="C25" s="1" t="s">
        <v>7</v>
      </c>
      <c r="D25" s="1" t="s">
        <v>8</v>
      </c>
      <c r="E25" s="4"/>
      <c r="F25" s="4"/>
      <c r="G25" s="4"/>
      <c r="H25" s="1" t="s">
        <v>10</v>
      </c>
      <c r="I25" s="1" t="s">
        <v>11</v>
      </c>
      <c r="J25" s="1" t="s">
        <v>12</v>
      </c>
      <c r="K25" s="4"/>
    </row>
    <row r="26" spans="1:11" ht="21" x14ac:dyDescent="0.35">
      <c r="A26" s="4"/>
      <c r="B26" s="23">
        <v>90.476174311480577</v>
      </c>
      <c r="C26" s="23">
        <v>90.476174311480705</v>
      </c>
      <c r="D26" s="23">
        <v>200</v>
      </c>
      <c r="E26" s="4"/>
      <c r="F26" s="4"/>
      <c r="G26" s="4"/>
      <c r="H26" s="1">
        <f>Taula612[cp1 '[€/kW any']]</f>
        <v>59.173468</v>
      </c>
      <c r="I26" s="1">
        <f>Taula612[cp2 '[€/kW any']]</f>
        <v>36.490689000000003</v>
      </c>
      <c r="J26" s="1">
        <f>Taula612[cp3 '[€/kW any']]</f>
        <v>8.3677309999999991</v>
      </c>
      <c r="K26" s="4"/>
    </row>
    <row r="27" spans="1:11" x14ac:dyDescent="0.25">
      <c r="A27" s="4"/>
      <c r="B27" s="5"/>
      <c r="C27" s="5"/>
      <c r="D27" s="5"/>
      <c r="E27" s="4"/>
      <c r="F27" s="4"/>
      <c r="G27" s="4"/>
      <c r="H27" s="4"/>
      <c r="I27" s="4"/>
      <c r="J27" s="4"/>
      <c r="K27" s="4"/>
    </row>
    <row r="28" spans="1:11" x14ac:dyDescent="0.25">
      <c r="A28" s="8" t="s">
        <v>9</v>
      </c>
      <c r="B28" s="9" t="s">
        <v>22</v>
      </c>
      <c r="C28" s="9" t="s">
        <v>21</v>
      </c>
      <c r="D28" s="9" t="s">
        <v>20</v>
      </c>
      <c r="E28" s="9" t="s">
        <v>19</v>
      </c>
      <c r="F28" s="9" t="s">
        <v>18</v>
      </c>
      <c r="G28" s="9" t="s">
        <v>17</v>
      </c>
      <c r="H28" s="9" t="s">
        <v>13</v>
      </c>
      <c r="I28" s="9" t="s">
        <v>14</v>
      </c>
      <c r="J28" s="9" t="s">
        <v>15</v>
      </c>
      <c r="K28" s="9" t="s">
        <v>16</v>
      </c>
    </row>
    <row r="29" spans="1:11" x14ac:dyDescent="0.25">
      <c r="A29" s="15" t="s">
        <v>25</v>
      </c>
      <c r="B29" s="14">
        <f t="shared" ref="B29:D40" si="5">+B8</f>
        <v>82</v>
      </c>
      <c r="C29" s="14">
        <f t="shared" si="5"/>
        <v>81</v>
      </c>
      <c r="D29" s="14">
        <f t="shared" si="5"/>
        <v>72</v>
      </c>
      <c r="E29" s="3">
        <f>+IF(B29&lt;(0.85*B$26),0.85*B$26,IF(B29&gt;(1.05*B$26),B29+2*(B29-1.05*B$26),B29))</f>
        <v>82</v>
      </c>
      <c r="F29" s="3">
        <f t="shared" ref="F29:G40" si="6">+IF(C29&lt;(0.85*C$26),0.85*C$26,IF(C29&gt;(1.05*C$26),C29+2*(C29-1.05*C$26),C29))</f>
        <v>81</v>
      </c>
      <c r="G29" s="3">
        <f t="shared" si="6"/>
        <v>170</v>
      </c>
      <c r="H29" s="2">
        <f>+H$26*E29/12</f>
        <v>404.35203133333334</v>
      </c>
      <c r="I29" s="2">
        <f t="shared" ref="I29:J40" si="7">+I$26*F29/12</f>
        <v>246.31215075000003</v>
      </c>
      <c r="J29" s="2">
        <f t="shared" si="7"/>
        <v>118.54285583333332</v>
      </c>
      <c r="K29" s="18">
        <f>SUM(H29:J29)</f>
        <v>769.20703791666665</v>
      </c>
    </row>
    <row r="30" spans="1:11" x14ac:dyDescent="0.25">
      <c r="A30" s="16" t="s">
        <v>26</v>
      </c>
      <c r="B30" s="10">
        <f t="shared" si="5"/>
        <v>20</v>
      </c>
      <c r="C30" s="10">
        <f t="shared" si="5"/>
        <v>80</v>
      </c>
      <c r="D30" s="10">
        <f t="shared" si="5"/>
        <v>70</v>
      </c>
      <c r="E30" s="7">
        <f t="shared" ref="E30:E40" si="8">+IF(B30&lt;(0.85*B$26),0.85*B$26,IF(B30&gt;(1.05*B$26),B30+2*(B30-1.05*B$26),B30))</f>
        <v>76.904748164758487</v>
      </c>
      <c r="F30" s="7">
        <f t="shared" si="6"/>
        <v>80</v>
      </c>
      <c r="G30" s="7">
        <f t="shared" si="6"/>
        <v>170</v>
      </c>
      <c r="H30" s="6">
        <f t="shared" ref="H30:H40" si="9">+H$26*E30/12</f>
        <v>379.22672121461625</v>
      </c>
      <c r="I30" s="6">
        <f t="shared" si="7"/>
        <v>243.27126000000001</v>
      </c>
      <c r="J30" s="6">
        <f t="shared" si="7"/>
        <v>118.54285583333332</v>
      </c>
      <c r="K30" s="19">
        <f t="shared" ref="K30:K40" si="10">SUM(H30:J30)</f>
        <v>741.04083704794959</v>
      </c>
    </row>
    <row r="31" spans="1:11" x14ac:dyDescent="0.25">
      <c r="A31" s="15" t="s">
        <v>0</v>
      </c>
      <c r="B31" s="14">
        <f t="shared" si="5"/>
        <v>80</v>
      </c>
      <c r="C31" s="14">
        <f t="shared" si="5"/>
        <v>80</v>
      </c>
      <c r="D31" s="14">
        <f t="shared" si="5"/>
        <v>56</v>
      </c>
      <c r="E31" s="3">
        <f t="shared" si="8"/>
        <v>80</v>
      </c>
      <c r="F31" s="3">
        <f t="shared" si="6"/>
        <v>80</v>
      </c>
      <c r="G31" s="3">
        <f t="shared" si="6"/>
        <v>170</v>
      </c>
      <c r="H31" s="2">
        <f t="shared" si="9"/>
        <v>394.4897866666667</v>
      </c>
      <c r="I31" s="2">
        <f t="shared" si="7"/>
        <v>243.27126000000001</v>
      </c>
      <c r="J31" s="2">
        <f t="shared" si="7"/>
        <v>118.54285583333332</v>
      </c>
      <c r="K31" s="18">
        <f t="shared" si="10"/>
        <v>756.30390250000005</v>
      </c>
    </row>
    <row r="32" spans="1:11" x14ac:dyDescent="0.25">
      <c r="A32" s="16" t="s">
        <v>27</v>
      </c>
      <c r="B32" s="10">
        <f t="shared" si="5"/>
        <v>90</v>
      </c>
      <c r="C32" s="10">
        <f t="shared" si="5"/>
        <v>80</v>
      </c>
      <c r="D32" s="10">
        <f t="shared" si="5"/>
        <v>56</v>
      </c>
      <c r="E32" s="7">
        <f t="shared" si="8"/>
        <v>90</v>
      </c>
      <c r="F32" s="7">
        <f t="shared" si="6"/>
        <v>80</v>
      </c>
      <c r="G32" s="7">
        <f t="shared" si="6"/>
        <v>170</v>
      </c>
      <c r="H32" s="6">
        <f t="shared" si="9"/>
        <v>443.80100999999996</v>
      </c>
      <c r="I32" s="6">
        <f t="shared" si="7"/>
        <v>243.27126000000001</v>
      </c>
      <c r="J32" s="6">
        <f t="shared" si="7"/>
        <v>118.54285583333332</v>
      </c>
      <c r="K32" s="19">
        <f t="shared" si="10"/>
        <v>805.61512583333331</v>
      </c>
    </row>
    <row r="33" spans="1:17" x14ac:dyDescent="0.25">
      <c r="A33" s="15" t="s">
        <v>1</v>
      </c>
      <c r="B33" s="14">
        <f t="shared" si="5"/>
        <v>55</v>
      </c>
      <c r="C33" s="14">
        <f t="shared" si="5"/>
        <v>55</v>
      </c>
      <c r="D33" s="14">
        <f t="shared" si="5"/>
        <v>55</v>
      </c>
      <c r="E33" s="3">
        <f t="shared" si="8"/>
        <v>76.904748164758487</v>
      </c>
      <c r="F33" s="3">
        <f t="shared" si="6"/>
        <v>76.904748164758601</v>
      </c>
      <c r="G33" s="3">
        <f t="shared" si="6"/>
        <v>170</v>
      </c>
      <c r="H33" s="2">
        <f t="shared" si="9"/>
        <v>379.22672121461625</v>
      </c>
      <c r="I33" s="2">
        <f t="shared" si="7"/>
        <v>233.85893732529394</v>
      </c>
      <c r="J33" s="2">
        <f t="shared" si="7"/>
        <v>118.54285583333332</v>
      </c>
      <c r="K33" s="18">
        <f t="shared" si="10"/>
        <v>731.62851437324343</v>
      </c>
    </row>
    <row r="34" spans="1:17" s="4" customFormat="1" x14ac:dyDescent="0.25">
      <c r="A34" s="16" t="s">
        <v>2</v>
      </c>
      <c r="B34" s="10">
        <f t="shared" si="5"/>
        <v>31</v>
      </c>
      <c r="C34" s="10">
        <f t="shared" si="5"/>
        <v>30</v>
      </c>
      <c r="D34" s="10">
        <f t="shared" si="5"/>
        <v>58</v>
      </c>
      <c r="E34" s="7">
        <f>+IF(B34&lt;(0.85*B$26),0.85*B$26,IF(B34&gt;(1.05*B$26),B34+2*(B34-1.05*B$26),B34))</f>
        <v>76.904748164758487</v>
      </c>
      <c r="F34" s="7">
        <f t="shared" si="6"/>
        <v>76.904748164758601</v>
      </c>
      <c r="G34" s="7">
        <f t="shared" si="6"/>
        <v>170</v>
      </c>
      <c r="H34" s="6">
        <f t="shared" si="9"/>
        <v>379.22672121461625</v>
      </c>
      <c r="I34" s="6">
        <f t="shared" si="7"/>
        <v>233.85893732529394</v>
      </c>
      <c r="J34" s="6">
        <f t="shared" si="7"/>
        <v>118.54285583333332</v>
      </c>
      <c r="K34" s="19">
        <f t="shared" si="10"/>
        <v>731.62851437324343</v>
      </c>
    </row>
    <row r="35" spans="1:17" x14ac:dyDescent="0.25">
      <c r="A35" s="15" t="s">
        <v>28</v>
      </c>
      <c r="B35" s="14">
        <f t="shared" si="5"/>
        <v>75</v>
      </c>
      <c r="C35" s="14">
        <f t="shared" si="5"/>
        <v>85</v>
      </c>
      <c r="D35" s="14">
        <f t="shared" si="5"/>
        <v>60</v>
      </c>
      <c r="E35" s="3">
        <f t="shared" si="8"/>
        <v>76.904748164758487</v>
      </c>
      <c r="F35" s="3">
        <f t="shared" si="6"/>
        <v>85</v>
      </c>
      <c r="G35" s="3">
        <f t="shared" si="6"/>
        <v>170</v>
      </c>
      <c r="H35" s="2">
        <f t="shared" si="9"/>
        <v>379.22672121461625</v>
      </c>
      <c r="I35" s="2">
        <f t="shared" si="7"/>
        <v>258.47571375000001</v>
      </c>
      <c r="J35" s="2">
        <f t="shared" si="7"/>
        <v>118.54285583333332</v>
      </c>
      <c r="K35" s="18">
        <f t="shared" si="10"/>
        <v>756.24529079794956</v>
      </c>
    </row>
    <row r="36" spans="1:17" x14ac:dyDescent="0.25">
      <c r="A36" s="16" t="s">
        <v>29</v>
      </c>
      <c r="B36" s="10">
        <f t="shared" si="5"/>
        <v>81</v>
      </c>
      <c r="C36" s="10">
        <f t="shared" si="5"/>
        <v>85</v>
      </c>
      <c r="D36" s="10">
        <f t="shared" si="5"/>
        <v>65</v>
      </c>
      <c r="E36" s="7">
        <f t="shared" si="8"/>
        <v>81</v>
      </c>
      <c r="F36" s="7">
        <f t="shared" si="6"/>
        <v>85</v>
      </c>
      <c r="G36" s="7">
        <f t="shared" si="6"/>
        <v>170</v>
      </c>
      <c r="H36" s="6">
        <f t="shared" si="9"/>
        <v>399.42090899999999</v>
      </c>
      <c r="I36" s="6">
        <f t="shared" si="7"/>
        <v>258.47571375000001</v>
      </c>
      <c r="J36" s="6">
        <f t="shared" si="7"/>
        <v>118.54285583333332</v>
      </c>
      <c r="K36" s="19">
        <f t="shared" si="10"/>
        <v>776.43947858333331</v>
      </c>
    </row>
    <row r="37" spans="1:17" x14ac:dyDescent="0.25">
      <c r="A37" s="15" t="s">
        <v>30</v>
      </c>
      <c r="B37" s="14">
        <f t="shared" si="5"/>
        <v>78</v>
      </c>
      <c r="C37" s="14">
        <f t="shared" si="5"/>
        <v>85</v>
      </c>
      <c r="D37" s="14">
        <f t="shared" si="5"/>
        <v>85</v>
      </c>
      <c r="E37" s="3">
        <f t="shared" si="8"/>
        <v>78</v>
      </c>
      <c r="F37" s="3">
        <f t="shared" si="6"/>
        <v>85</v>
      </c>
      <c r="G37" s="3">
        <f t="shared" si="6"/>
        <v>170</v>
      </c>
      <c r="H37" s="2">
        <f t="shared" si="9"/>
        <v>384.62754200000001</v>
      </c>
      <c r="I37" s="2">
        <f t="shared" si="7"/>
        <v>258.47571375000001</v>
      </c>
      <c r="J37" s="2">
        <f t="shared" si="7"/>
        <v>118.54285583333332</v>
      </c>
      <c r="K37" s="18">
        <f t="shared" si="10"/>
        <v>761.64611158333332</v>
      </c>
    </row>
    <row r="38" spans="1:17" x14ac:dyDescent="0.25">
      <c r="A38" s="16" t="s">
        <v>31</v>
      </c>
      <c r="B38" s="10">
        <f t="shared" si="5"/>
        <v>95</v>
      </c>
      <c r="C38" s="10">
        <f t="shared" si="5"/>
        <v>60</v>
      </c>
      <c r="D38" s="10">
        <f t="shared" si="5"/>
        <v>75</v>
      </c>
      <c r="E38" s="7">
        <f t="shared" si="8"/>
        <v>95.000033945890777</v>
      </c>
      <c r="F38" s="7">
        <f t="shared" si="6"/>
        <v>76.904748164758601</v>
      </c>
      <c r="G38" s="7">
        <f t="shared" si="6"/>
        <v>170</v>
      </c>
      <c r="H38" s="6">
        <f t="shared" si="9"/>
        <v>468.45678905800679</v>
      </c>
      <c r="I38" s="6">
        <f t="shared" si="7"/>
        <v>233.85893732529394</v>
      </c>
      <c r="J38" s="6">
        <f t="shared" si="7"/>
        <v>118.54285583333332</v>
      </c>
      <c r="K38" s="19">
        <f t="shared" si="10"/>
        <v>820.85858221663398</v>
      </c>
    </row>
    <row r="39" spans="1:17" x14ac:dyDescent="0.25">
      <c r="A39" s="15" t="s">
        <v>32</v>
      </c>
      <c r="B39" s="14">
        <f t="shared" si="5"/>
        <v>94</v>
      </c>
      <c r="C39" s="14">
        <f t="shared" si="5"/>
        <v>92</v>
      </c>
      <c r="D39" s="14">
        <f t="shared" si="5"/>
        <v>55</v>
      </c>
      <c r="E39" s="3">
        <f t="shared" si="8"/>
        <v>94</v>
      </c>
      <c r="F39" s="3">
        <f t="shared" si="6"/>
        <v>92</v>
      </c>
      <c r="G39" s="3">
        <f t="shared" si="6"/>
        <v>170</v>
      </c>
      <c r="H39" s="2">
        <f t="shared" si="9"/>
        <v>463.5254993333333</v>
      </c>
      <c r="I39" s="2">
        <f t="shared" si="7"/>
        <v>279.76194900000002</v>
      </c>
      <c r="J39" s="2">
        <f t="shared" si="7"/>
        <v>118.54285583333332</v>
      </c>
      <c r="K39" s="18">
        <f t="shared" si="10"/>
        <v>861.83030416666656</v>
      </c>
    </row>
    <row r="40" spans="1:17" x14ac:dyDescent="0.25">
      <c r="A40" s="16" t="s">
        <v>33</v>
      </c>
      <c r="B40" s="10">
        <f t="shared" si="5"/>
        <v>95</v>
      </c>
      <c r="C40" s="10">
        <f t="shared" si="5"/>
        <v>95</v>
      </c>
      <c r="D40" s="10">
        <f t="shared" si="5"/>
        <v>65</v>
      </c>
      <c r="E40" s="7">
        <f t="shared" si="8"/>
        <v>95.000033945890777</v>
      </c>
      <c r="F40" s="7">
        <f t="shared" si="6"/>
        <v>95.000033945890522</v>
      </c>
      <c r="G40" s="7">
        <f t="shared" si="6"/>
        <v>170</v>
      </c>
      <c r="H40" s="6">
        <f t="shared" si="9"/>
        <v>468.45678905800679</v>
      </c>
      <c r="I40" s="6">
        <f t="shared" si="7"/>
        <v>288.88472447574452</v>
      </c>
      <c r="J40" s="6">
        <f t="shared" si="7"/>
        <v>118.54285583333332</v>
      </c>
      <c r="K40" s="19">
        <f t="shared" si="10"/>
        <v>875.88436936708467</v>
      </c>
    </row>
    <row r="41" spans="1:17" ht="21" x14ac:dyDescent="0.35">
      <c r="A41" s="4"/>
      <c r="B41" s="5"/>
      <c r="C41" s="5"/>
      <c r="D41" s="5"/>
      <c r="E41" s="7"/>
      <c r="F41" s="7"/>
      <c r="G41" s="7"/>
      <c r="H41" s="11"/>
      <c r="I41" s="11"/>
      <c r="J41" s="20" t="s">
        <v>24</v>
      </c>
      <c r="K41" s="21">
        <f>SUBTOTAL(109,Taula29[CP '[€/mes']])</f>
        <v>9388.3280687594379</v>
      </c>
    </row>
    <row r="42" spans="1:17" x14ac:dyDescent="0.25">
      <c r="A42" s="4"/>
      <c r="B42" s="4"/>
      <c r="C42" s="4"/>
      <c r="D42" s="4"/>
      <c r="E42" s="4"/>
      <c r="F42" s="4"/>
      <c r="G42" s="4"/>
      <c r="H42" s="4"/>
      <c r="I42" s="4"/>
      <c r="J42" s="4"/>
      <c r="K42" s="4"/>
    </row>
    <row r="43" spans="1:17" x14ac:dyDescent="0.25">
      <c r="A43" s="4"/>
      <c r="B43" s="4"/>
      <c r="C43" s="4"/>
      <c r="D43" s="4"/>
      <c r="E43" s="4"/>
      <c r="F43" s="4"/>
      <c r="G43" s="4"/>
      <c r="H43" s="4"/>
      <c r="I43" s="4"/>
      <c r="J43" s="4"/>
      <c r="K43" s="4"/>
    </row>
    <row r="44" spans="1:17" ht="23.25" x14ac:dyDescent="0.35">
      <c r="A44" s="4"/>
      <c r="B44" s="4"/>
      <c r="C44" s="4"/>
      <c r="D44" s="4"/>
      <c r="E44" s="4"/>
      <c r="F44" s="4"/>
      <c r="G44" s="4"/>
      <c r="H44" s="4"/>
      <c r="I44" s="4"/>
      <c r="J44" s="24" t="s">
        <v>34</v>
      </c>
      <c r="K44" s="25">
        <f>K20-K41</f>
        <v>648.02989819889626</v>
      </c>
    </row>
    <row r="45" spans="1:17" ht="23.25" x14ac:dyDescent="0.35">
      <c r="A45" s="4"/>
      <c r="B45" s="4"/>
      <c r="C45" s="4"/>
      <c r="D45" s="4"/>
      <c r="E45" s="4"/>
      <c r="F45" s="4"/>
      <c r="G45" s="4"/>
      <c r="H45" s="4"/>
      <c r="I45" s="4"/>
      <c r="J45" s="26"/>
      <c r="K45" s="26"/>
    </row>
    <row r="46" spans="1:17" ht="23.25" x14ac:dyDescent="0.35">
      <c r="A46" s="4"/>
      <c r="B46" s="4"/>
      <c r="C46" s="4"/>
      <c r="D46" s="4"/>
      <c r="E46" s="4"/>
      <c r="F46" s="4"/>
      <c r="G46" s="4"/>
      <c r="H46" s="4"/>
      <c r="I46" s="4"/>
      <c r="J46" s="24" t="s">
        <v>35</v>
      </c>
      <c r="K46" s="25">
        <v>-79.491969999999995</v>
      </c>
    </row>
    <row r="47" spans="1:17" ht="23.25" x14ac:dyDescent="0.35">
      <c r="A47" s="4"/>
      <c r="B47" s="4"/>
      <c r="C47" s="4"/>
      <c r="D47" s="4"/>
      <c r="E47" s="4"/>
      <c r="F47" s="4"/>
      <c r="G47" s="4"/>
      <c r="H47" s="4"/>
      <c r="I47" s="4"/>
      <c r="J47" s="24" t="s">
        <v>38</v>
      </c>
      <c r="K47" s="99">
        <f>IF(OR((Taula411[PCO1]-Taula310[PC1])&gt;0,(Taula411[PCO2]-Taula310[PC2])&gt;0,(Taula411[PCO3]-Taula310[PC3])&gt;0),-MAX((Taula411[PCO1]-Taula310[PC1]),(Taula411[PCO2]-Taula310[PC2]),(Taula411[PCO3]-Taula310[PC3]))*17.374714,0)</f>
        <v>0</v>
      </c>
      <c r="O47" s="54"/>
      <c r="P47" s="54"/>
      <c r="Q47" s="54"/>
    </row>
    <row r="48" spans="1:17" ht="23.25" x14ac:dyDescent="0.35">
      <c r="A48" s="4"/>
      <c r="B48" s="4"/>
      <c r="C48" s="4"/>
      <c r="D48" s="4"/>
      <c r="E48" s="4"/>
      <c r="F48" s="4"/>
      <c r="G48" s="4"/>
      <c r="H48" s="4"/>
      <c r="I48" s="4"/>
      <c r="J48" s="24" t="s">
        <v>39</v>
      </c>
      <c r="K48" s="99">
        <f>IF(OR((Taula411[PCO1]-Taula310[PC1])&gt;0,(Taula411[PCO2]-Taula310[PC2])&gt;0,(Taula411[PCO3]-Taula310[PC3])&gt;0),-MAX((Taula411[PCO1]-Taula310[PC1]),(Taula411[PCO2]-Taula310[PC2]),(Taula411[PCO3]-Taula310[PC3]))*16.992541,0)</f>
        <v>0</v>
      </c>
    </row>
    <row r="49" spans="1:11" ht="23.25" x14ac:dyDescent="0.35">
      <c r="A49" s="4"/>
      <c r="B49" s="4"/>
      <c r="C49" s="4"/>
      <c r="D49" s="4"/>
      <c r="E49" s="4"/>
      <c r="F49" s="4"/>
      <c r="G49" s="4"/>
      <c r="H49" s="4"/>
      <c r="I49" s="4"/>
      <c r="J49" s="24"/>
      <c r="K49" s="27"/>
    </row>
    <row r="50" spans="1:11" ht="23.25" x14ac:dyDescent="0.35">
      <c r="A50" s="4"/>
      <c r="B50" s="4"/>
      <c r="C50" s="4"/>
      <c r="D50" s="4"/>
      <c r="E50" s="4"/>
      <c r="F50" s="4"/>
      <c r="G50" s="4"/>
      <c r="H50" s="4"/>
      <c r="I50" s="4"/>
      <c r="J50" s="24" t="s">
        <v>36</v>
      </c>
      <c r="K50" s="28" t="s">
        <v>37</v>
      </c>
    </row>
    <row r="51" spans="1:11" x14ac:dyDescent="0.25">
      <c r="A51" s="4"/>
      <c r="B51" s="4"/>
      <c r="C51" s="4"/>
      <c r="D51" s="4"/>
      <c r="E51" s="4"/>
      <c r="F51" s="4"/>
      <c r="G51" s="4"/>
      <c r="H51" s="4"/>
      <c r="I51" s="4"/>
      <c r="J51" s="4"/>
      <c r="K51" s="4"/>
    </row>
    <row r="52" spans="1:11" ht="21" x14ac:dyDescent="0.25">
      <c r="A52" s="4"/>
      <c r="B52" s="4"/>
      <c r="C52" s="4"/>
      <c r="D52" s="4"/>
      <c r="E52" s="4"/>
      <c r="F52" s="4"/>
      <c r="G52" s="4"/>
      <c r="H52" s="4"/>
      <c r="I52" s="4"/>
      <c r="J52" s="13"/>
      <c r="K52" s="12"/>
    </row>
  </sheetData>
  <conditionalFormatting sqref="K8:K19">
    <cfRule type="colorScale" priority="3">
      <colorScale>
        <cfvo type="min"/>
        <cfvo type="percentile" val="50"/>
        <cfvo type="max"/>
        <color rgb="FF63BE7B"/>
        <color rgb="FFFFEB84"/>
        <color rgb="FFF8696B"/>
      </colorScale>
    </cfRule>
  </conditionalFormatting>
  <conditionalFormatting sqref="K29:K40">
    <cfRule type="colorScale" priority="2">
      <colorScale>
        <cfvo type="min"/>
        <cfvo type="percentile" val="50"/>
        <cfvo type="max"/>
        <color rgb="FF63BE7B"/>
        <color rgb="FFFFEB84"/>
        <color rgb="FFF8696B"/>
      </colorScale>
    </cfRule>
  </conditionalFormatting>
  <conditionalFormatting sqref="K8:K19 K29:K39">
    <cfRule type="colorScale" priority="1">
      <colorScale>
        <cfvo type="min"/>
        <cfvo type="percentile" val="50"/>
        <cfvo type="max"/>
        <color rgb="FF63BE7B"/>
        <color rgb="FFFFEB84"/>
        <color rgb="FFF8696B"/>
      </colorScale>
    </cfRule>
  </conditionalFormatting>
  <pageMargins left="0.7" right="0.7" top="0.75" bottom="0.75" header="0.3" footer="0.3"/>
  <tableParts count="6">
    <tablePart r:id="rId1"/>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Fulls de càlcul</vt:lpstr>
      </vt:variant>
      <vt:variant>
        <vt:i4>9</vt:i4>
      </vt:variant>
      <vt:variant>
        <vt:lpstr>Intervals amb nom</vt:lpstr>
      </vt:variant>
      <vt:variant>
        <vt:i4>1</vt:i4>
      </vt:variant>
    </vt:vector>
  </HeadingPairs>
  <TitlesOfParts>
    <vt:vector size="10" baseType="lpstr">
      <vt:lpstr>Instruccions</vt:lpstr>
      <vt:lpstr>Entrada de dades</vt:lpstr>
      <vt:lpstr>Sortida de resultats</vt:lpstr>
      <vt:lpstr>3.0 creixent</vt:lpstr>
      <vt:lpstr>3.0 òptim</vt:lpstr>
      <vt:lpstr>3.0 creixent P3fix</vt:lpstr>
      <vt:lpstr>3.0 òptim P3fix</vt:lpstr>
      <vt:lpstr>3.1</vt:lpstr>
      <vt:lpstr>3.1 P3fix</vt:lpstr>
      <vt:lpstr>Instruccions!Àrea_d'impressió</vt:lpstr>
    </vt:vector>
  </TitlesOfParts>
  <Company>CTTI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Rotllan Puig, Marc</dc:creator>
  <cp:lastModifiedBy>de Cara Ruiz, César</cp:lastModifiedBy>
  <cp:lastPrinted>2019-11-22T12:59:03Z</cp:lastPrinted>
  <dcterms:created xsi:type="dcterms:W3CDTF">2016-04-08T10:50:26Z</dcterms:created>
  <dcterms:modified xsi:type="dcterms:W3CDTF">2020-01-09T11:21:40Z</dcterms:modified>
</cp:coreProperties>
</file>