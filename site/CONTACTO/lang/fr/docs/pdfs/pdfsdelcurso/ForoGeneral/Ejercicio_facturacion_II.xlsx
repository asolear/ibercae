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35" windowWidth="4455" windowHeight="7440" activeTab="1"/>
  </bookViews>
  <sheets>
    <sheet name="MAL" sheetId="1" r:id="rId1"/>
    <sheet name="BIEN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Y21" i="2"/>
  <c r="Y20"/>
  <c r="N4"/>
  <c r="O4"/>
  <c r="M4"/>
  <c r="Y18"/>
  <c r="Y16"/>
  <c r="J19"/>
  <c r="O19" s="1"/>
  <c r="T19" s="1"/>
  <c r="J18"/>
  <c r="J17"/>
  <c r="O17" s="1"/>
  <c r="T17" s="1"/>
  <c r="J16"/>
  <c r="O16" s="1"/>
  <c r="T16" s="1"/>
  <c r="J15"/>
  <c r="O15" s="1"/>
  <c r="T15" s="1"/>
  <c r="J14"/>
  <c r="O14" s="1"/>
  <c r="T14" s="1"/>
  <c r="J13"/>
  <c r="O13" s="1"/>
  <c r="T13" s="1"/>
  <c r="J12"/>
  <c r="J11"/>
  <c r="O11" s="1"/>
  <c r="T11" s="1"/>
  <c r="J10"/>
  <c r="J9"/>
  <c r="O9" s="1"/>
  <c r="T9" s="1"/>
  <c r="J8"/>
  <c r="O8" s="1"/>
  <c r="T8" s="1"/>
  <c r="I19"/>
  <c r="I18"/>
  <c r="N18" s="1"/>
  <c r="S18" s="1"/>
  <c r="I17"/>
  <c r="N17" s="1"/>
  <c r="S17" s="1"/>
  <c r="I16"/>
  <c r="N16" s="1"/>
  <c r="S16" s="1"/>
  <c r="I15"/>
  <c r="I14"/>
  <c r="I13"/>
  <c r="I12"/>
  <c r="I11"/>
  <c r="I10"/>
  <c r="I9"/>
  <c r="I8"/>
  <c r="H19"/>
  <c r="M19" s="1"/>
  <c r="R19" s="1"/>
  <c r="H18"/>
  <c r="H17"/>
  <c r="H16"/>
  <c r="H15"/>
  <c r="H14"/>
  <c r="M14" s="1"/>
  <c r="R14" s="1"/>
  <c r="H13"/>
  <c r="M13" s="1"/>
  <c r="R13" s="1"/>
  <c r="H12"/>
  <c r="M12" s="1"/>
  <c r="R12" s="1"/>
  <c r="H11"/>
  <c r="H10"/>
  <c r="M10" s="1"/>
  <c r="R10" s="1"/>
  <c r="H9"/>
  <c r="M9" s="1"/>
  <c r="R9" s="1"/>
  <c r="H8"/>
  <c r="M8" s="1"/>
  <c r="R8" s="1"/>
  <c r="F21"/>
  <c r="D21"/>
  <c r="E19"/>
  <c r="C19"/>
  <c r="O18"/>
  <c r="T18" s="1"/>
  <c r="M18"/>
  <c r="R18" s="1"/>
  <c r="E18"/>
  <c r="C18"/>
  <c r="M17"/>
  <c r="R17" s="1"/>
  <c r="E17"/>
  <c r="C17"/>
  <c r="E16"/>
  <c r="C16"/>
  <c r="M15"/>
  <c r="R15" s="1"/>
  <c r="E15"/>
  <c r="E14"/>
  <c r="E13"/>
  <c r="O12"/>
  <c r="T12" s="1"/>
  <c r="E12"/>
  <c r="M11"/>
  <c r="R11" s="1"/>
  <c r="E11"/>
  <c r="O10"/>
  <c r="T10" s="1"/>
  <c r="E10"/>
  <c r="N9"/>
  <c r="S9" s="1"/>
  <c r="E9"/>
  <c r="E8"/>
  <c r="S10" i="1"/>
  <c r="N4"/>
  <c r="O4"/>
  <c r="J19"/>
  <c r="O19" s="1"/>
  <c r="T19" s="1"/>
  <c r="I19"/>
  <c r="H19"/>
  <c r="M19" s="1"/>
  <c r="R19" s="1"/>
  <c r="J18"/>
  <c r="O18" s="1"/>
  <c r="T18" s="1"/>
  <c r="I18"/>
  <c r="H18"/>
  <c r="J17"/>
  <c r="O17" s="1"/>
  <c r="T17" s="1"/>
  <c r="I17"/>
  <c r="H17"/>
  <c r="M17" s="1"/>
  <c r="R17" s="1"/>
  <c r="J16"/>
  <c r="O16" s="1"/>
  <c r="T16" s="1"/>
  <c r="I16"/>
  <c r="H16"/>
  <c r="J15"/>
  <c r="O15" s="1"/>
  <c r="T15" s="1"/>
  <c r="I15"/>
  <c r="H15"/>
  <c r="M15" s="1"/>
  <c r="R15" s="1"/>
  <c r="I14"/>
  <c r="K14" s="1"/>
  <c r="J14"/>
  <c r="H14"/>
  <c r="M14" s="1"/>
  <c r="R14" s="1"/>
  <c r="J13"/>
  <c r="I13"/>
  <c r="N13" s="1"/>
  <c r="S13" s="1"/>
  <c r="H13"/>
  <c r="I12"/>
  <c r="N12" s="1"/>
  <c r="S12" s="1"/>
  <c r="J12"/>
  <c r="H12"/>
  <c r="M12" s="1"/>
  <c r="R12" s="1"/>
  <c r="J11"/>
  <c r="O11" s="1"/>
  <c r="T11" s="1"/>
  <c r="I11"/>
  <c r="N11" s="1"/>
  <c r="S11" s="1"/>
  <c r="H11"/>
  <c r="M11" s="1"/>
  <c r="R11" s="1"/>
  <c r="J10"/>
  <c r="O10" s="1"/>
  <c r="T10" s="1"/>
  <c r="I10"/>
  <c r="H10"/>
  <c r="M10" s="1"/>
  <c r="R10" s="1"/>
  <c r="J9"/>
  <c r="O9" s="1"/>
  <c r="T9" s="1"/>
  <c r="I9"/>
  <c r="N9" s="1"/>
  <c r="S9" s="1"/>
  <c r="H9"/>
  <c r="M9" s="1"/>
  <c r="R9" s="1"/>
  <c r="J8"/>
  <c r="O8" s="1"/>
  <c r="T8" s="1"/>
  <c r="I8"/>
  <c r="N8" s="1"/>
  <c r="S8" s="1"/>
  <c r="H8"/>
  <c r="N10"/>
  <c r="O12"/>
  <c r="T12" s="1"/>
  <c r="O13"/>
  <c r="T13" s="1"/>
  <c r="N14"/>
  <c r="S14" s="1"/>
  <c r="O14"/>
  <c r="T14" s="1"/>
  <c r="N15"/>
  <c r="S15" s="1"/>
  <c r="N16"/>
  <c r="S16" s="1"/>
  <c r="N17"/>
  <c r="S17" s="1"/>
  <c r="N18"/>
  <c r="S18" s="1"/>
  <c r="N19"/>
  <c r="S19" s="1"/>
  <c r="M13"/>
  <c r="R13" s="1"/>
  <c r="M16"/>
  <c r="R16" s="1"/>
  <c r="M8"/>
  <c r="R8" s="1"/>
  <c r="M4"/>
  <c r="F21"/>
  <c r="D21"/>
  <c r="E19"/>
  <c r="C19"/>
  <c r="E18"/>
  <c r="C18"/>
  <c r="E17"/>
  <c r="C17"/>
  <c r="E16"/>
  <c r="C16"/>
  <c r="E15"/>
  <c r="E14"/>
  <c r="E13"/>
  <c r="E10"/>
  <c r="E11"/>
  <c r="E12"/>
  <c r="E9"/>
  <c r="E8"/>
  <c r="C21" i="2" l="1"/>
  <c r="E21"/>
  <c r="K9"/>
  <c r="K12"/>
  <c r="U18"/>
  <c r="I21"/>
  <c r="U9"/>
  <c r="K8"/>
  <c r="K19"/>
  <c r="K15"/>
  <c r="K14"/>
  <c r="K13"/>
  <c r="K11"/>
  <c r="K10"/>
  <c r="H21"/>
  <c r="T21"/>
  <c r="U17"/>
  <c r="K18"/>
  <c r="N8"/>
  <c r="S8" s="1"/>
  <c r="N10"/>
  <c r="S10" s="1"/>
  <c r="U10" s="1"/>
  <c r="N11"/>
  <c r="S11" s="1"/>
  <c r="U11" s="1"/>
  <c r="N12"/>
  <c r="S12" s="1"/>
  <c r="U12" s="1"/>
  <c r="N13"/>
  <c r="S13" s="1"/>
  <c r="U13" s="1"/>
  <c r="N14"/>
  <c r="S14" s="1"/>
  <c r="U14" s="1"/>
  <c r="N15"/>
  <c r="S15" s="1"/>
  <c r="U15" s="1"/>
  <c r="M16"/>
  <c r="R16" s="1"/>
  <c r="U16" s="1"/>
  <c r="K17"/>
  <c r="N19"/>
  <c r="S19" s="1"/>
  <c r="U19" s="1"/>
  <c r="J21"/>
  <c r="K16"/>
  <c r="U8" i="1"/>
  <c r="T21"/>
  <c r="S21"/>
  <c r="K19"/>
  <c r="K18"/>
  <c r="M18"/>
  <c r="R18" s="1"/>
  <c r="R21" s="1"/>
  <c r="K17"/>
  <c r="K16"/>
  <c r="K15"/>
  <c r="K13"/>
  <c r="K12"/>
  <c r="K11"/>
  <c r="J21"/>
  <c r="K10"/>
  <c r="H21"/>
  <c r="K9"/>
  <c r="K8"/>
  <c r="I21"/>
  <c r="U13"/>
  <c r="U9"/>
  <c r="U16"/>
  <c r="U12"/>
  <c r="U17"/>
  <c r="U11"/>
  <c r="U15"/>
  <c r="U19"/>
  <c r="E21"/>
  <c r="C21"/>
  <c r="U10"/>
  <c r="U14"/>
  <c r="K21" i="2" l="1"/>
  <c r="R21"/>
  <c r="S21"/>
  <c r="U8"/>
  <c r="U21" s="1"/>
  <c r="K21" i="1"/>
  <c r="U18" l="1"/>
  <c r="U21" s="1"/>
</calcChain>
</file>

<file path=xl/comments1.xml><?xml version="1.0" encoding="utf-8"?>
<comments xmlns="http://schemas.openxmlformats.org/spreadsheetml/2006/main">
  <authors>
    <author>STIVEN SIMO GAUXAX</author>
  </authors>
  <commentList>
    <comment ref="W16" authorId="0">
      <text>
        <r>
          <rPr>
            <b/>
            <sz val="9"/>
            <color indexed="81"/>
            <rFont val="Tahoma"/>
            <charset val="1"/>
          </rPr>
          <t xml:space="preserve">p1=40
p2=60
p3=35
</t>
        </r>
      </text>
    </comment>
    <comment ref="W17" authorId="0">
      <text>
        <r>
          <rPr>
            <b/>
            <sz val="9"/>
            <color indexed="81"/>
            <rFont val="Tahoma"/>
            <charset val="1"/>
          </rPr>
          <t xml:space="preserve">p1=50
p2=60
p3=50
</t>
        </r>
      </text>
    </comment>
  </commentList>
</comments>
</file>

<file path=xl/comments2.xml><?xml version="1.0" encoding="utf-8"?>
<comments xmlns="http://schemas.openxmlformats.org/spreadsheetml/2006/main">
  <authors>
    <author>STIVEN SIMO GAUXAX</author>
  </authors>
  <commentList>
    <comment ref="H3" authorId="0">
      <text>
        <r>
          <rPr>
            <b/>
            <sz val="9"/>
            <color indexed="81"/>
            <rFont val="Tahoma"/>
            <charset val="1"/>
          </rPr>
          <t>P1 (Período Punta): Es el período en que la potencia y la energía resultan más caras. Son 4 horas al día y en caso de días festivos se llama P4.</t>
        </r>
      </text>
    </comment>
    <comment ref="I3" authorId="0">
      <text>
        <r>
          <rPr>
            <b/>
            <sz val="9"/>
            <color indexed="81"/>
            <rFont val="Tahoma"/>
            <charset val="1"/>
          </rPr>
          <t>P2 (Período Llano): Son 12 horas al día y los días festivos se llama P5.</t>
        </r>
      </text>
    </comment>
    <comment ref="J3" authorId="0">
      <text>
        <r>
          <rPr>
            <b/>
            <sz val="9"/>
            <color indexed="81"/>
            <rFont val="Tahoma"/>
            <charset val="1"/>
          </rPr>
          <t>P3 (Período Valle): Es el período en que la potencia y la energía resultan más baratos. Son 8 horas al día y los días festivos se llama P6.</t>
        </r>
      </text>
    </comment>
    <comment ref="W14" authorId="0">
      <text>
        <r>
          <rPr>
            <b/>
            <sz val="9"/>
            <color indexed="81"/>
            <rFont val="Tahoma"/>
            <charset val="1"/>
          </rPr>
          <t xml:space="preserve">p1=45
p2=50
p3=45
</t>
        </r>
      </text>
    </comment>
    <comment ref="W15" authorId="0">
      <text>
        <r>
          <rPr>
            <b/>
            <sz val="9"/>
            <color indexed="81"/>
            <rFont val="Tahoma"/>
            <charset val="1"/>
          </rPr>
          <t xml:space="preserve">p1=50
p2=60
p3=50
</t>
        </r>
      </text>
    </comment>
    <comment ref="W16" authorId="0">
      <text>
        <r>
          <rPr>
            <b/>
            <sz val="9"/>
            <color indexed="81"/>
            <rFont val="Tahoma"/>
            <charset val="1"/>
          </rPr>
          <t xml:space="preserve">p1=45
p2=70
p3=35
</t>
        </r>
      </text>
    </comment>
    <comment ref="W17" authorId="0">
      <text>
        <r>
          <rPr>
            <b/>
            <sz val="9"/>
            <color indexed="81"/>
            <rFont val="Tahoma"/>
            <charset val="1"/>
          </rPr>
          <t xml:space="preserve">p1=40
p2=45
p3=35
</t>
        </r>
      </text>
    </comment>
    <comment ref="W18" authorId="0">
      <text>
        <r>
          <rPr>
            <b/>
            <sz val="9"/>
            <color indexed="81"/>
            <rFont val="Tahoma"/>
            <charset val="1"/>
          </rPr>
          <t xml:space="preserve">p1=40
p2=50
p3=35
</t>
        </r>
      </text>
    </comment>
    <comment ref="W19" authorId="0">
      <text>
        <r>
          <rPr>
            <b/>
            <sz val="9"/>
            <color indexed="81"/>
            <rFont val="Tahoma"/>
            <charset val="1"/>
          </rPr>
          <t xml:space="preserve">p1=42
p2=44
p3=35
</t>
        </r>
      </text>
    </comment>
    <comment ref="W21" authorId="0">
      <text>
        <r>
          <rPr>
            <b/>
            <sz val="9"/>
            <color indexed="81"/>
            <rFont val="Tahoma"/>
            <charset val="1"/>
          </rPr>
          <t xml:space="preserve">p1=43
p2=53
p3=35
</t>
        </r>
      </text>
    </comment>
  </commentList>
</comments>
</file>

<file path=xl/sharedStrings.xml><?xml version="1.0" encoding="utf-8"?>
<sst xmlns="http://schemas.openxmlformats.org/spreadsheetml/2006/main" count="95" uniqueCount="44">
  <si>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</si>
  <si>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</si>
  <si>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</si>
  <si>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</si>
  <si>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</si>
  <si>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</si>
  <si>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</si>
  <si>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</si>
  <si>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</si>
  <si>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</si>
  <si>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</si>
  <si>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</si>
  <si>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IVA</t>
  </si>
  <si>
    <t>Imp. Electr.</t>
  </si>
  <si>
    <t>Termino Energia</t>
  </si>
  <si>
    <t>Termino Potencia</t>
  </si>
  <si>
    <t>P1 (kwh)</t>
  </si>
  <si>
    <t>P2 (kwh)</t>
  </si>
  <si>
    <t>P3 (kwh)</t>
  </si>
  <si>
    <t>P1 (€)</t>
  </si>
  <si>
    <t>P2 (€)</t>
  </si>
  <si>
    <t>P3 (€)</t>
  </si>
  <si>
    <t>P1 (€/kw dia)</t>
  </si>
  <si>
    <t>P2 (€/kw dia)</t>
  </si>
  <si>
    <t>P3 (€/kw dia)</t>
  </si>
  <si>
    <t>TOTAL (kwh)</t>
  </si>
  <si>
    <t>TOTAL:</t>
  </si>
  <si>
    <t>POTENCIA FACTURADA</t>
  </si>
  <si>
    <t>MAXIMETRO</t>
  </si>
  <si>
    <t>COSTE POTENCIA</t>
  </si>
  <si>
    <t>coste anual</t>
  </si>
  <si>
    <t>dias</t>
  </si>
  <si>
    <t>x1</t>
  </si>
  <si>
    <t>x2</t>
  </si>
  <si>
    <t>P. FACTURADA</t>
  </si>
  <si>
    <t>x3</t>
  </si>
  <si>
    <t>x4</t>
  </si>
  <si>
    <t>x5</t>
  </si>
  <si>
    <t>x6</t>
  </si>
  <si>
    <t>HORAS</t>
  </si>
  <si>
    <t xml:space="preserve">P1 </t>
  </si>
  <si>
    <t xml:space="preserve">P2 </t>
  </si>
  <si>
    <t xml:space="preserve">P3 </t>
  </si>
  <si>
    <t>x7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</si>
</sst>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" fontId="0" fillId="0" borderId="0" xfId="0" applyNumberFormat="1"/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1" xfId="0" applyFont="1" applyBorder="1"/>
    <xf numFmtId="4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/>
    <xf numFmtId="9" fontId="0" fillId="0" borderId="0" xfId="0" applyNumberFormat="1"/>
    <xf numFmtId="4" fontId="1" fillId="0" borderId="0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4" fontId="0" fillId="2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MAL!$C$7</c:f>
              <c:strCache>
                <c:ptCount val="1"/>
                <c:pt idx="0">
                  <c:v>IVA</c:v>
                </c:pt>
              </c:strCache>
            </c:strRef>
          </c:tx>
          <c:cat>
            <c:strRef>
              <c:f>MAL!$B$8:$B$19</c:f>
              <c:strCache>
                <c:ptCount val="12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</c:strCache>
            </c:strRef>
          </c:cat>
          <c:val>
            <c:numRef>
              <c:f>MAL!$C$8:$C$19</c:f>
              <c:numCache>
                <c:formatCode>General</c:formatCode>
                <c:ptCount val="12"/>
                <c:pt idx="0">
                  <c:v>409.88</c:v>
                </c:pt>
                <c:pt idx="1">
                  <c:v>525.72</c:v>
                </c:pt>
                <c:pt idx="2">
                  <c:v>489.62</c:v>
                </c:pt>
                <c:pt idx="3">
                  <c:v>351.78</c:v>
                </c:pt>
                <c:pt idx="4">
                  <c:v>289.94</c:v>
                </c:pt>
                <c:pt idx="5">
                  <c:v>279.69</c:v>
                </c:pt>
                <c:pt idx="6">
                  <c:v>277.13</c:v>
                </c:pt>
                <c:pt idx="7">
                  <c:v>267.74</c:v>
                </c:pt>
                <c:pt idx="8">
                  <c:v>314.48</c:v>
                </c:pt>
                <c:pt idx="9">
                  <c:v>319.56</c:v>
                </c:pt>
                <c:pt idx="10">
                  <c:v>352.64</c:v>
                </c:pt>
                <c:pt idx="11">
                  <c:v>409.45</c:v>
                </c:pt>
              </c:numCache>
            </c:numRef>
          </c:val>
        </c:ser>
        <c:ser>
          <c:idx val="1"/>
          <c:order val="1"/>
          <c:tx>
            <c:strRef>
              <c:f>MAL!$D$7</c:f>
              <c:strCache>
                <c:ptCount val="1"/>
                <c:pt idx="0">
                  <c:v>Imp. Electr.</c:v>
                </c:pt>
              </c:strCache>
            </c:strRef>
          </c:tx>
          <c:cat>
            <c:strRef>
              <c:f>MAL!$B$8:$B$19</c:f>
              <c:strCache>
                <c:ptCount val="12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</c:strCache>
            </c:strRef>
          </c:cat>
          <c:val>
            <c:numRef>
              <c:f>MAL!$D$8:$D$19</c:f>
              <c:numCache>
                <c:formatCode>General</c:formatCode>
                <c:ptCount val="12"/>
                <c:pt idx="0">
                  <c:v>110.76</c:v>
                </c:pt>
                <c:pt idx="1">
                  <c:v>142.06</c:v>
                </c:pt>
                <c:pt idx="2">
                  <c:v>132.31</c:v>
                </c:pt>
                <c:pt idx="3">
                  <c:v>95.06</c:v>
                </c:pt>
                <c:pt idx="4">
                  <c:v>78.349999999999994</c:v>
                </c:pt>
                <c:pt idx="5">
                  <c:v>75.58</c:v>
                </c:pt>
                <c:pt idx="6">
                  <c:v>74.89</c:v>
                </c:pt>
                <c:pt idx="7">
                  <c:v>72.349999999999994</c:v>
                </c:pt>
                <c:pt idx="8">
                  <c:v>73.41</c:v>
                </c:pt>
                <c:pt idx="9">
                  <c:v>74.59</c:v>
                </c:pt>
                <c:pt idx="10">
                  <c:v>82.25</c:v>
                </c:pt>
                <c:pt idx="11">
                  <c:v>95.98</c:v>
                </c:pt>
              </c:numCache>
            </c:numRef>
          </c:val>
        </c:ser>
        <c:ser>
          <c:idx val="2"/>
          <c:order val="2"/>
          <c:tx>
            <c:strRef>
              <c:f>MAL!$E$7</c:f>
              <c:strCache>
                <c:ptCount val="1"/>
                <c:pt idx="0">
                  <c:v>Termino Energia</c:v>
                </c:pt>
              </c:strCache>
            </c:strRef>
          </c:tx>
          <c:cat>
            <c:strRef>
              <c:f>MAL!$B$8:$B$19</c:f>
              <c:strCache>
                <c:ptCount val="12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</c:strCache>
            </c:strRef>
          </c:cat>
          <c:val>
            <c:numRef>
              <c:f>MAL!$E$8:$E$19</c:f>
              <c:numCache>
                <c:formatCode>General</c:formatCode>
                <c:ptCount val="12"/>
                <c:pt idx="0">
                  <c:v>1827.33</c:v>
                </c:pt>
                <c:pt idx="1">
                  <c:v>2419.6900000000005</c:v>
                </c:pt>
                <c:pt idx="2">
                  <c:v>2255.1000000000004</c:v>
                </c:pt>
                <c:pt idx="3">
                  <c:v>1500.35</c:v>
                </c:pt>
                <c:pt idx="4">
                  <c:v>1167.3999999999999</c:v>
                </c:pt>
                <c:pt idx="5">
                  <c:v>1101.05</c:v>
                </c:pt>
                <c:pt idx="6">
                  <c:v>829.66000000000008</c:v>
                </c:pt>
                <c:pt idx="7">
                  <c:v>1037.9000000000001</c:v>
                </c:pt>
                <c:pt idx="8">
                  <c:v>980.41</c:v>
                </c:pt>
                <c:pt idx="9">
                  <c:v>1015.6</c:v>
                </c:pt>
                <c:pt idx="10">
                  <c:v>1153.31</c:v>
                </c:pt>
                <c:pt idx="11">
                  <c:v>1353.33</c:v>
                </c:pt>
              </c:numCache>
            </c:numRef>
          </c:val>
        </c:ser>
        <c:ser>
          <c:idx val="3"/>
          <c:order val="3"/>
          <c:tx>
            <c:strRef>
              <c:f>MAL!$F$7</c:f>
              <c:strCache>
                <c:ptCount val="1"/>
                <c:pt idx="0">
                  <c:v>Termino Potencia</c:v>
                </c:pt>
              </c:strCache>
            </c:strRef>
          </c:tx>
          <c:cat>
            <c:strRef>
              <c:f>MAL!$B$8:$B$19</c:f>
              <c:strCache>
                <c:ptCount val="12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</c:strCache>
            </c:strRef>
          </c:cat>
          <c:val>
            <c:numRef>
              <c:f>MAL!$F$8:$F$19</c:f>
              <c:numCache>
                <c:formatCode>General</c:formatCode>
                <c:ptCount val="12"/>
                <c:pt idx="0">
                  <c:v>339.03</c:v>
                </c:pt>
                <c:pt idx="1">
                  <c:v>358.94</c:v>
                </c:pt>
                <c:pt idx="2">
                  <c:v>335.78</c:v>
                </c:pt>
                <c:pt idx="3">
                  <c:v>358.94</c:v>
                </c:pt>
                <c:pt idx="4">
                  <c:v>365.04</c:v>
                </c:pt>
                <c:pt idx="5">
                  <c:v>377.21</c:v>
                </c:pt>
                <c:pt idx="6">
                  <c:v>365.04</c:v>
                </c:pt>
                <c:pt idx="7">
                  <c:v>377.21</c:v>
                </c:pt>
                <c:pt idx="8">
                  <c:v>377.21</c:v>
                </c:pt>
                <c:pt idx="9">
                  <c:v>365.04</c:v>
                </c:pt>
                <c:pt idx="10">
                  <c:v>377.21</c:v>
                </c:pt>
                <c:pt idx="11">
                  <c:v>365.04</c:v>
                </c:pt>
              </c:numCache>
            </c:numRef>
          </c:val>
        </c:ser>
        <c:overlap val="100"/>
        <c:axId val="84925824"/>
        <c:axId val="58606720"/>
      </c:barChart>
      <c:catAx>
        <c:axId val="84925824"/>
        <c:scaling>
          <c:orientation val="minMax"/>
        </c:scaling>
        <c:axPos val="b"/>
        <c:tickLblPos val="nextTo"/>
        <c:crossAx val="58606720"/>
        <c:crosses val="autoZero"/>
        <c:auto val="1"/>
        <c:lblAlgn val="ctr"/>
        <c:lblOffset val="100"/>
      </c:catAx>
      <c:valAx>
        <c:axId val="58606720"/>
        <c:scaling>
          <c:orientation val="minMax"/>
        </c:scaling>
        <c:axPos val="l"/>
        <c:majorGridlines/>
        <c:numFmt formatCode="General" sourceLinked="1"/>
        <c:tickLblPos val="nextTo"/>
        <c:crossAx val="849258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MAL!$H$7</c:f>
              <c:strCache>
                <c:ptCount val="1"/>
                <c:pt idx="0">
                  <c:v>P1 (kwh)</c:v>
                </c:pt>
              </c:strCache>
            </c:strRef>
          </c:tx>
          <c:val>
            <c:numRef>
              <c:f>MAL!$H$8:$H$19</c:f>
              <c:numCache>
                <c:formatCode>General</c:formatCode>
                <c:ptCount val="12"/>
                <c:pt idx="0">
                  <c:v>83</c:v>
                </c:pt>
                <c:pt idx="1">
                  <c:v>80</c:v>
                </c:pt>
                <c:pt idx="2">
                  <c:v>71</c:v>
                </c:pt>
                <c:pt idx="3">
                  <c:v>49</c:v>
                </c:pt>
                <c:pt idx="4">
                  <c:v>48</c:v>
                </c:pt>
                <c:pt idx="5">
                  <c:v>36</c:v>
                </c:pt>
                <c:pt idx="6">
                  <c:v>38</c:v>
                </c:pt>
                <c:pt idx="7">
                  <c:v>36</c:v>
                </c:pt>
                <c:pt idx="8">
                  <c:v>36</c:v>
                </c:pt>
                <c:pt idx="9">
                  <c:v>40</c:v>
                </c:pt>
                <c:pt idx="10">
                  <c:v>38</c:v>
                </c:pt>
                <c:pt idx="11">
                  <c:v>53</c:v>
                </c:pt>
              </c:numCache>
            </c:numRef>
          </c:val>
        </c:ser>
        <c:ser>
          <c:idx val="1"/>
          <c:order val="1"/>
          <c:tx>
            <c:strRef>
              <c:f>MAL!$I$7</c:f>
              <c:strCache>
                <c:ptCount val="1"/>
                <c:pt idx="0">
                  <c:v>P2 (kwh)</c:v>
                </c:pt>
              </c:strCache>
            </c:strRef>
          </c:tx>
          <c:val>
            <c:numRef>
              <c:f>MAL!$I$8:$I$19</c:f>
              <c:numCache>
                <c:formatCode>General</c:formatCode>
                <c:ptCount val="12"/>
                <c:pt idx="0">
                  <c:v>86</c:v>
                </c:pt>
                <c:pt idx="1">
                  <c:v>97</c:v>
                </c:pt>
                <c:pt idx="2">
                  <c:v>100</c:v>
                </c:pt>
                <c:pt idx="3">
                  <c:v>63</c:v>
                </c:pt>
                <c:pt idx="4">
                  <c:v>50</c:v>
                </c:pt>
                <c:pt idx="5">
                  <c:v>40</c:v>
                </c:pt>
                <c:pt idx="6">
                  <c:v>46</c:v>
                </c:pt>
                <c:pt idx="7">
                  <c:v>37</c:v>
                </c:pt>
                <c:pt idx="8">
                  <c:v>40</c:v>
                </c:pt>
                <c:pt idx="9">
                  <c:v>40</c:v>
                </c:pt>
                <c:pt idx="10">
                  <c:v>46</c:v>
                </c:pt>
                <c:pt idx="11">
                  <c:v>84</c:v>
                </c:pt>
              </c:numCache>
            </c:numRef>
          </c:val>
        </c:ser>
        <c:ser>
          <c:idx val="2"/>
          <c:order val="2"/>
          <c:tx>
            <c:strRef>
              <c:f>MAL!$J$7</c:f>
              <c:strCache>
                <c:ptCount val="1"/>
                <c:pt idx="0">
                  <c:v>P3 (kwh)</c:v>
                </c:pt>
              </c:strCache>
            </c:strRef>
          </c:tx>
          <c:val>
            <c:numRef>
              <c:f>MAL!$J$8:$J$19</c:f>
              <c:numCache>
                <c:formatCode>General</c:formatCode>
                <c:ptCount val="12"/>
                <c:pt idx="0">
                  <c:v>55</c:v>
                </c:pt>
                <c:pt idx="1">
                  <c:v>87</c:v>
                </c:pt>
                <c:pt idx="2">
                  <c:v>98</c:v>
                </c:pt>
                <c:pt idx="3">
                  <c:v>55</c:v>
                </c:pt>
                <c:pt idx="4">
                  <c:v>42</c:v>
                </c:pt>
                <c:pt idx="5">
                  <c:v>29</c:v>
                </c:pt>
                <c:pt idx="6">
                  <c:v>30</c:v>
                </c:pt>
                <c:pt idx="7">
                  <c:v>33</c:v>
                </c:pt>
                <c:pt idx="8">
                  <c:v>22</c:v>
                </c:pt>
                <c:pt idx="9">
                  <c:v>23</c:v>
                </c:pt>
                <c:pt idx="10">
                  <c:v>32</c:v>
                </c:pt>
                <c:pt idx="11">
                  <c:v>37</c:v>
                </c:pt>
              </c:numCache>
            </c:numRef>
          </c:val>
        </c:ser>
        <c:overlap val="100"/>
        <c:axId val="62605568"/>
        <c:axId val="62931712"/>
      </c:barChart>
      <c:catAx>
        <c:axId val="62605568"/>
        <c:scaling>
          <c:orientation val="minMax"/>
        </c:scaling>
        <c:axPos val="b"/>
        <c:tickLblPos val="nextTo"/>
        <c:crossAx val="62931712"/>
        <c:crosses val="autoZero"/>
        <c:auto val="1"/>
        <c:lblAlgn val="ctr"/>
        <c:lblOffset val="100"/>
      </c:catAx>
      <c:valAx>
        <c:axId val="62931712"/>
        <c:scaling>
          <c:orientation val="minMax"/>
        </c:scaling>
        <c:axPos val="l"/>
        <c:majorGridlines/>
        <c:numFmt formatCode="General" sourceLinked="1"/>
        <c:tickLblPos val="nextTo"/>
        <c:crossAx val="626055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MAL!$R$7</c:f>
              <c:strCache>
                <c:ptCount val="1"/>
                <c:pt idx="0">
                  <c:v>P1 (€)</c:v>
                </c:pt>
              </c:strCache>
            </c:strRef>
          </c:tx>
          <c:val>
            <c:numRef>
              <c:f>MAL!$R$8:$R$19</c:f>
              <c:numCache>
                <c:formatCode>#,##0.00</c:formatCode>
                <c:ptCount val="12"/>
                <c:pt idx="0">
                  <c:v>498.11984150399996</c:v>
                </c:pt>
                <c:pt idx="1">
                  <c:v>466.98735140999997</c:v>
                </c:pt>
                <c:pt idx="2">
                  <c:v>349.48730815200003</c:v>
                </c:pt>
                <c:pt idx="3">
                  <c:v>169.49911273399999</c:v>
                </c:pt>
                <c:pt idx="4">
                  <c:v>160.68381983999998</c:v>
                </c:pt>
                <c:pt idx="5">
                  <c:v>147.01453655500001</c:v>
                </c:pt>
                <c:pt idx="6">
                  <c:v>142.27213215</c:v>
                </c:pt>
                <c:pt idx="7">
                  <c:v>147.01453655500001</c:v>
                </c:pt>
                <c:pt idx="8">
                  <c:v>147.01453655500001</c:v>
                </c:pt>
                <c:pt idx="9">
                  <c:v>142.27213215</c:v>
                </c:pt>
                <c:pt idx="10">
                  <c:v>147.01453655500001</c:v>
                </c:pt>
                <c:pt idx="11">
                  <c:v>186.794940564</c:v>
                </c:pt>
              </c:numCache>
            </c:numRef>
          </c:val>
        </c:ser>
        <c:ser>
          <c:idx val="1"/>
          <c:order val="1"/>
          <c:tx>
            <c:strRef>
              <c:f>MAL!$S$7</c:f>
              <c:strCache>
                <c:ptCount val="1"/>
                <c:pt idx="0">
                  <c:v>P2 (€)</c:v>
                </c:pt>
              </c:strCache>
            </c:strRef>
          </c:tx>
          <c:val>
            <c:numRef>
              <c:f>MAL!$S$8:$S$19</c:f>
              <c:numCache>
                <c:formatCode>#,##0.00</c:formatCode>
                <c:ptCount val="12"/>
                <c:pt idx="0">
                  <c:v>273.96590218800003</c:v>
                </c:pt>
                <c:pt idx="1">
                  <c:v>342.45737773500002</c:v>
                </c:pt>
                <c:pt idx="2">
                  <c:v>337.83771809400002</c:v>
                </c:pt>
                <c:pt idx="3">
                  <c:v>130.75645331699999</c:v>
                </c:pt>
                <c:pt idx="4">
                  <c:v>102.43593117</c:v>
                </c:pt>
                <c:pt idx="5">
                  <c:v>105.85046220900001</c:v>
                </c:pt>
                <c:pt idx="6">
                  <c:v>102.43593117</c:v>
                </c:pt>
                <c:pt idx="7">
                  <c:v>105.85046220900001</c:v>
                </c:pt>
                <c:pt idx="8">
                  <c:v>105.85046220900001</c:v>
                </c:pt>
                <c:pt idx="9">
                  <c:v>102.43593117</c:v>
                </c:pt>
                <c:pt idx="10">
                  <c:v>105.85046220900001</c:v>
                </c:pt>
                <c:pt idx="11">
                  <c:v>261.51290663399999</c:v>
                </c:pt>
              </c:numCache>
            </c:numRef>
          </c:val>
        </c:ser>
        <c:ser>
          <c:idx val="2"/>
          <c:order val="2"/>
          <c:tx>
            <c:strRef>
              <c:f>MAL!$T$7</c:f>
              <c:strCache>
                <c:ptCount val="1"/>
                <c:pt idx="0">
                  <c:v>P3 (€)</c:v>
                </c:pt>
              </c:strCache>
            </c:strRef>
          </c:tx>
          <c:val>
            <c:numRef>
              <c:f>MAL!$T$8:$T$19</c:f>
              <c:numCache>
                <c:formatCode>#,##0.00</c:formatCode>
                <c:ptCount val="12"/>
                <c:pt idx="0">
                  <c:v>83.019978419999987</c:v>
                </c:pt>
                <c:pt idx="1">
                  <c:v>215.85194389199998</c:v>
                </c:pt>
                <c:pt idx="2">
                  <c:v>244.641129957</c:v>
                </c:pt>
                <c:pt idx="3">
                  <c:v>83.019978419999987</c:v>
                </c:pt>
                <c:pt idx="4">
                  <c:v>56.908856174999997</c:v>
                </c:pt>
                <c:pt idx="5">
                  <c:v>58.805818047499997</c:v>
                </c:pt>
                <c:pt idx="6">
                  <c:v>56.908856174999997</c:v>
                </c:pt>
                <c:pt idx="7">
                  <c:v>58.805818047499997</c:v>
                </c:pt>
                <c:pt idx="8">
                  <c:v>58.805818047499997</c:v>
                </c:pt>
                <c:pt idx="9">
                  <c:v>56.908856174999997</c:v>
                </c:pt>
                <c:pt idx="10">
                  <c:v>58.805818047499997</c:v>
                </c:pt>
                <c:pt idx="11">
                  <c:v>58.805818047499997</c:v>
                </c:pt>
              </c:numCache>
            </c:numRef>
          </c:val>
        </c:ser>
        <c:overlap val="100"/>
        <c:axId val="62958208"/>
        <c:axId val="63132800"/>
      </c:barChart>
      <c:catAx>
        <c:axId val="62958208"/>
        <c:scaling>
          <c:orientation val="minMax"/>
        </c:scaling>
        <c:axPos val="b"/>
        <c:tickLblPos val="nextTo"/>
        <c:crossAx val="63132800"/>
        <c:crosses val="autoZero"/>
        <c:auto val="1"/>
        <c:lblAlgn val="ctr"/>
        <c:lblOffset val="100"/>
      </c:catAx>
      <c:valAx>
        <c:axId val="63132800"/>
        <c:scaling>
          <c:orientation val="minMax"/>
        </c:scaling>
        <c:axPos val="l"/>
        <c:majorGridlines/>
        <c:numFmt formatCode="#,##0.00" sourceLinked="1"/>
        <c:tickLblPos val="nextTo"/>
        <c:crossAx val="62958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7.0599518810148726E-2"/>
          <c:y val="7.4548702245552642E-2"/>
          <c:w val="0.68633092738407697"/>
          <c:h val="0.79822506561679785"/>
        </c:manualLayout>
      </c:layout>
      <c:lineChart>
        <c:grouping val="standard"/>
        <c:ser>
          <c:idx val="0"/>
          <c:order val="0"/>
          <c:tx>
            <c:strRef>
              <c:f>MAL!$H$7</c:f>
              <c:strCache>
                <c:ptCount val="1"/>
                <c:pt idx="0">
                  <c:v>P1 (kwh)</c:v>
                </c:pt>
              </c:strCache>
            </c:strRef>
          </c:tx>
          <c:marker>
            <c:symbol val="none"/>
          </c:marker>
          <c:val>
            <c:numRef>
              <c:f>MAL!$H$8:$H$19</c:f>
              <c:numCache>
                <c:formatCode>General</c:formatCode>
                <c:ptCount val="12"/>
                <c:pt idx="0">
                  <c:v>83</c:v>
                </c:pt>
                <c:pt idx="1">
                  <c:v>80</c:v>
                </c:pt>
                <c:pt idx="2">
                  <c:v>71</c:v>
                </c:pt>
                <c:pt idx="3">
                  <c:v>49</c:v>
                </c:pt>
                <c:pt idx="4">
                  <c:v>48</c:v>
                </c:pt>
                <c:pt idx="5">
                  <c:v>36</c:v>
                </c:pt>
                <c:pt idx="6">
                  <c:v>38</c:v>
                </c:pt>
                <c:pt idx="7">
                  <c:v>36</c:v>
                </c:pt>
                <c:pt idx="8">
                  <c:v>36</c:v>
                </c:pt>
                <c:pt idx="9">
                  <c:v>40</c:v>
                </c:pt>
                <c:pt idx="10">
                  <c:v>38</c:v>
                </c:pt>
                <c:pt idx="11">
                  <c:v>53</c:v>
                </c:pt>
              </c:numCache>
            </c:numRef>
          </c:val>
        </c:ser>
        <c:ser>
          <c:idx val="1"/>
          <c:order val="1"/>
          <c:tx>
            <c:strRef>
              <c:f>MAL!$I$7</c:f>
              <c:strCache>
                <c:ptCount val="1"/>
                <c:pt idx="0">
                  <c:v>P2 (kwh)</c:v>
                </c:pt>
              </c:strCache>
            </c:strRef>
          </c:tx>
          <c:marker>
            <c:symbol val="none"/>
          </c:marker>
          <c:val>
            <c:numRef>
              <c:f>MAL!$I$8:$I$19</c:f>
              <c:numCache>
                <c:formatCode>General</c:formatCode>
                <c:ptCount val="12"/>
                <c:pt idx="0">
                  <c:v>86</c:v>
                </c:pt>
                <c:pt idx="1">
                  <c:v>97</c:v>
                </c:pt>
                <c:pt idx="2">
                  <c:v>100</c:v>
                </c:pt>
                <c:pt idx="3">
                  <c:v>63</c:v>
                </c:pt>
                <c:pt idx="4">
                  <c:v>50</c:v>
                </c:pt>
                <c:pt idx="5">
                  <c:v>40</c:v>
                </c:pt>
                <c:pt idx="6">
                  <c:v>46</c:v>
                </c:pt>
                <c:pt idx="7">
                  <c:v>37</c:v>
                </c:pt>
                <c:pt idx="8">
                  <c:v>40</c:v>
                </c:pt>
                <c:pt idx="9">
                  <c:v>40</c:v>
                </c:pt>
                <c:pt idx="10">
                  <c:v>46</c:v>
                </c:pt>
                <c:pt idx="11">
                  <c:v>84</c:v>
                </c:pt>
              </c:numCache>
            </c:numRef>
          </c:val>
        </c:ser>
        <c:ser>
          <c:idx val="2"/>
          <c:order val="2"/>
          <c:tx>
            <c:strRef>
              <c:f>MAL!$J$7</c:f>
              <c:strCache>
                <c:ptCount val="1"/>
                <c:pt idx="0">
                  <c:v>P3 (kwh)</c:v>
                </c:pt>
              </c:strCache>
            </c:strRef>
          </c:tx>
          <c:marker>
            <c:symbol val="none"/>
          </c:marker>
          <c:val>
            <c:numRef>
              <c:f>MAL!$J$8:$J$19</c:f>
              <c:numCache>
                <c:formatCode>General</c:formatCode>
                <c:ptCount val="12"/>
                <c:pt idx="0">
                  <c:v>55</c:v>
                </c:pt>
                <c:pt idx="1">
                  <c:v>87</c:v>
                </c:pt>
                <c:pt idx="2">
                  <c:v>98</c:v>
                </c:pt>
                <c:pt idx="3">
                  <c:v>55</c:v>
                </c:pt>
                <c:pt idx="4">
                  <c:v>42</c:v>
                </c:pt>
                <c:pt idx="5">
                  <c:v>29</c:v>
                </c:pt>
                <c:pt idx="6">
                  <c:v>30</c:v>
                </c:pt>
                <c:pt idx="7">
                  <c:v>33</c:v>
                </c:pt>
                <c:pt idx="8">
                  <c:v>22</c:v>
                </c:pt>
                <c:pt idx="9">
                  <c:v>23</c:v>
                </c:pt>
                <c:pt idx="10">
                  <c:v>32</c:v>
                </c:pt>
                <c:pt idx="11">
                  <c:v>37</c:v>
                </c:pt>
              </c:numCache>
            </c:numRef>
          </c:val>
        </c:ser>
        <c:marker val="1"/>
        <c:axId val="57189504"/>
        <c:axId val="57191808"/>
      </c:lineChart>
      <c:catAx>
        <c:axId val="57189504"/>
        <c:scaling>
          <c:orientation val="minMax"/>
        </c:scaling>
        <c:axPos val="b"/>
        <c:tickLblPos val="nextTo"/>
        <c:crossAx val="57191808"/>
        <c:crosses val="autoZero"/>
        <c:auto val="1"/>
        <c:lblAlgn val="ctr"/>
        <c:lblOffset val="100"/>
      </c:catAx>
      <c:valAx>
        <c:axId val="57191808"/>
        <c:scaling>
          <c:orientation val="minMax"/>
        </c:scaling>
        <c:axPos val="l"/>
        <c:majorGridlines/>
        <c:numFmt formatCode="General" sourceLinked="1"/>
        <c:tickLblPos val="nextTo"/>
        <c:crossAx val="571895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MAL!$C$7</c:f>
              <c:strCache>
                <c:ptCount val="1"/>
                <c:pt idx="0">
                  <c:v>IVA</c:v>
                </c:pt>
              </c:strCache>
            </c:strRef>
          </c:tx>
          <c:cat>
            <c:strRef>
              <c:f>MAL!$B$8:$B$19</c:f>
              <c:strCache>
                <c:ptCount val="12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</c:strCache>
            </c:strRef>
          </c:cat>
          <c:val>
            <c:numRef>
              <c:f>MAL!$C$8:$C$19</c:f>
              <c:numCache>
                <c:formatCode>General</c:formatCode>
                <c:ptCount val="12"/>
                <c:pt idx="0">
                  <c:v>409.88</c:v>
                </c:pt>
                <c:pt idx="1">
                  <c:v>525.72</c:v>
                </c:pt>
                <c:pt idx="2">
                  <c:v>489.62</c:v>
                </c:pt>
                <c:pt idx="3">
                  <c:v>351.78</c:v>
                </c:pt>
                <c:pt idx="4">
                  <c:v>289.94</c:v>
                </c:pt>
                <c:pt idx="5">
                  <c:v>279.69</c:v>
                </c:pt>
                <c:pt idx="6">
                  <c:v>277.13</c:v>
                </c:pt>
                <c:pt idx="7">
                  <c:v>267.74</c:v>
                </c:pt>
                <c:pt idx="8">
                  <c:v>314.48</c:v>
                </c:pt>
                <c:pt idx="9">
                  <c:v>319.56</c:v>
                </c:pt>
                <c:pt idx="10">
                  <c:v>352.64</c:v>
                </c:pt>
                <c:pt idx="11">
                  <c:v>409.45</c:v>
                </c:pt>
              </c:numCache>
            </c:numRef>
          </c:val>
        </c:ser>
        <c:ser>
          <c:idx val="1"/>
          <c:order val="1"/>
          <c:tx>
            <c:strRef>
              <c:f>MAL!$D$7</c:f>
              <c:strCache>
                <c:ptCount val="1"/>
                <c:pt idx="0">
                  <c:v>Imp. Electr.</c:v>
                </c:pt>
              </c:strCache>
            </c:strRef>
          </c:tx>
          <c:cat>
            <c:strRef>
              <c:f>MAL!$B$8:$B$19</c:f>
              <c:strCache>
                <c:ptCount val="12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</c:strCache>
            </c:strRef>
          </c:cat>
          <c:val>
            <c:numRef>
              <c:f>MAL!$D$8:$D$19</c:f>
              <c:numCache>
                <c:formatCode>General</c:formatCode>
                <c:ptCount val="12"/>
                <c:pt idx="0">
                  <c:v>110.76</c:v>
                </c:pt>
                <c:pt idx="1">
                  <c:v>142.06</c:v>
                </c:pt>
                <c:pt idx="2">
                  <c:v>132.31</c:v>
                </c:pt>
                <c:pt idx="3">
                  <c:v>95.06</c:v>
                </c:pt>
                <c:pt idx="4">
                  <c:v>78.349999999999994</c:v>
                </c:pt>
                <c:pt idx="5">
                  <c:v>75.58</c:v>
                </c:pt>
                <c:pt idx="6">
                  <c:v>74.89</c:v>
                </c:pt>
                <c:pt idx="7">
                  <c:v>72.349999999999994</c:v>
                </c:pt>
                <c:pt idx="8">
                  <c:v>73.41</c:v>
                </c:pt>
                <c:pt idx="9">
                  <c:v>74.59</c:v>
                </c:pt>
                <c:pt idx="10">
                  <c:v>82.25</c:v>
                </c:pt>
                <c:pt idx="11">
                  <c:v>95.98</c:v>
                </c:pt>
              </c:numCache>
            </c:numRef>
          </c:val>
        </c:ser>
        <c:ser>
          <c:idx val="2"/>
          <c:order val="2"/>
          <c:tx>
            <c:strRef>
              <c:f>MAL!$E$7</c:f>
              <c:strCache>
                <c:ptCount val="1"/>
                <c:pt idx="0">
                  <c:v>Termino Energia</c:v>
                </c:pt>
              </c:strCache>
            </c:strRef>
          </c:tx>
          <c:cat>
            <c:strRef>
              <c:f>MAL!$B$8:$B$19</c:f>
              <c:strCache>
                <c:ptCount val="12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</c:strCache>
            </c:strRef>
          </c:cat>
          <c:val>
            <c:numRef>
              <c:f>MAL!$E$8:$E$19</c:f>
              <c:numCache>
                <c:formatCode>General</c:formatCode>
                <c:ptCount val="12"/>
                <c:pt idx="0">
                  <c:v>1827.33</c:v>
                </c:pt>
                <c:pt idx="1">
                  <c:v>2419.6900000000005</c:v>
                </c:pt>
                <c:pt idx="2">
                  <c:v>2255.1000000000004</c:v>
                </c:pt>
                <c:pt idx="3">
                  <c:v>1500.35</c:v>
                </c:pt>
                <c:pt idx="4">
                  <c:v>1167.3999999999999</c:v>
                </c:pt>
                <c:pt idx="5">
                  <c:v>1101.05</c:v>
                </c:pt>
                <c:pt idx="6">
                  <c:v>829.66000000000008</c:v>
                </c:pt>
                <c:pt idx="7">
                  <c:v>1037.9000000000001</c:v>
                </c:pt>
                <c:pt idx="8">
                  <c:v>980.41</c:v>
                </c:pt>
                <c:pt idx="9">
                  <c:v>1015.6</c:v>
                </c:pt>
                <c:pt idx="10">
                  <c:v>1153.31</c:v>
                </c:pt>
                <c:pt idx="11">
                  <c:v>1353.33</c:v>
                </c:pt>
              </c:numCache>
            </c:numRef>
          </c:val>
        </c:ser>
        <c:ser>
          <c:idx val="3"/>
          <c:order val="3"/>
          <c:tx>
            <c:strRef>
              <c:f>MAL!$F$7</c:f>
              <c:strCache>
                <c:ptCount val="1"/>
                <c:pt idx="0">
                  <c:v>Termino Potencia</c:v>
                </c:pt>
              </c:strCache>
            </c:strRef>
          </c:tx>
          <c:cat>
            <c:strRef>
              <c:f>MAL!$B$8:$B$19</c:f>
              <c:strCache>
                <c:ptCount val="12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  <c:pt idx="10">
                  <c:v>octubre</c:v>
                </c:pt>
                <c:pt idx="11">
                  <c:v>noviembre</c:v>
                </c:pt>
              </c:strCache>
            </c:strRef>
          </c:cat>
          <c:val>
            <c:numRef>
              <c:f>MAL!$F$8:$F$19</c:f>
              <c:numCache>
                <c:formatCode>General</c:formatCode>
                <c:ptCount val="12"/>
                <c:pt idx="0">
                  <c:v>339.03</c:v>
                </c:pt>
                <c:pt idx="1">
                  <c:v>358.94</c:v>
                </c:pt>
                <c:pt idx="2">
                  <c:v>335.78</c:v>
                </c:pt>
                <c:pt idx="3">
                  <c:v>358.94</c:v>
                </c:pt>
                <c:pt idx="4">
                  <c:v>365.04</c:v>
                </c:pt>
                <c:pt idx="5">
                  <c:v>377.21</c:v>
                </c:pt>
                <c:pt idx="6">
                  <c:v>365.04</c:v>
                </c:pt>
                <c:pt idx="7">
                  <c:v>377.21</c:v>
                </c:pt>
                <c:pt idx="8">
                  <c:v>377.21</c:v>
                </c:pt>
                <c:pt idx="9">
                  <c:v>365.04</c:v>
                </c:pt>
                <c:pt idx="10">
                  <c:v>377.21</c:v>
                </c:pt>
                <c:pt idx="11">
                  <c:v>365.04</c:v>
                </c:pt>
              </c:numCache>
            </c:numRef>
          </c:val>
        </c:ser>
        <c:overlap val="100"/>
        <c:axId val="121833344"/>
        <c:axId val="121834880"/>
      </c:barChart>
      <c:catAx>
        <c:axId val="121833344"/>
        <c:scaling>
          <c:orientation val="minMax"/>
        </c:scaling>
        <c:axPos val="b"/>
        <c:tickLblPos val="nextTo"/>
        <c:crossAx val="121834880"/>
        <c:crosses val="autoZero"/>
        <c:auto val="1"/>
        <c:lblAlgn val="ctr"/>
        <c:lblOffset val="100"/>
      </c:catAx>
      <c:valAx>
        <c:axId val="121834880"/>
        <c:scaling>
          <c:orientation val="minMax"/>
        </c:scaling>
        <c:axPos val="l"/>
        <c:majorGridlines/>
        <c:numFmt formatCode="General" sourceLinked="1"/>
        <c:tickLblPos val="nextTo"/>
        <c:crossAx val="1218333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MAL!$H$7</c:f>
              <c:strCache>
                <c:ptCount val="1"/>
                <c:pt idx="0">
                  <c:v>P1 (kwh)</c:v>
                </c:pt>
              </c:strCache>
            </c:strRef>
          </c:tx>
          <c:val>
            <c:numRef>
              <c:f>MAL!$H$8:$H$19</c:f>
              <c:numCache>
                <c:formatCode>General</c:formatCode>
                <c:ptCount val="12"/>
                <c:pt idx="0">
                  <c:v>83</c:v>
                </c:pt>
                <c:pt idx="1">
                  <c:v>80</c:v>
                </c:pt>
                <c:pt idx="2">
                  <c:v>71</c:v>
                </c:pt>
                <c:pt idx="3">
                  <c:v>49</c:v>
                </c:pt>
                <c:pt idx="4">
                  <c:v>48</c:v>
                </c:pt>
                <c:pt idx="5">
                  <c:v>36</c:v>
                </c:pt>
                <c:pt idx="6">
                  <c:v>38</c:v>
                </c:pt>
                <c:pt idx="7">
                  <c:v>36</c:v>
                </c:pt>
                <c:pt idx="8">
                  <c:v>36</c:v>
                </c:pt>
                <c:pt idx="9">
                  <c:v>40</c:v>
                </c:pt>
                <c:pt idx="10">
                  <c:v>38</c:v>
                </c:pt>
                <c:pt idx="11">
                  <c:v>53</c:v>
                </c:pt>
              </c:numCache>
            </c:numRef>
          </c:val>
        </c:ser>
        <c:ser>
          <c:idx val="1"/>
          <c:order val="1"/>
          <c:tx>
            <c:strRef>
              <c:f>MAL!$I$7</c:f>
              <c:strCache>
                <c:ptCount val="1"/>
                <c:pt idx="0">
                  <c:v>P2 (kwh)</c:v>
                </c:pt>
              </c:strCache>
            </c:strRef>
          </c:tx>
          <c:val>
            <c:numRef>
              <c:f>MAL!$I$8:$I$19</c:f>
              <c:numCache>
                <c:formatCode>General</c:formatCode>
                <c:ptCount val="12"/>
                <c:pt idx="0">
                  <c:v>86</c:v>
                </c:pt>
                <c:pt idx="1">
                  <c:v>97</c:v>
                </c:pt>
                <c:pt idx="2">
                  <c:v>100</c:v>
                </c:pt>
                <c:pt idx="3">
                  <c:v>63</c:v>
                </c:pt>
                <c:pt idx="4">
                  <c:v>50</c:v>
                </c:pt>
                <c:pt idx="5">
                  <c:v>40</c:v>
                </c:pt>
                <c:pt idx="6">
                  <c:v>46</c:v>
                </c:pt>
                <c:pt idx="7">
                  <c:v>37</c:v>
                </c:pt>
                <c:pt idx="8">
                  <c:v>40</c:v>
                </c:pt>
                <c:pt idx="9">
                  <c:v>40</c:v>
                </c:pt>
                <c:pt idx="10">
                  <c:v>46</c:v>
                </c:pt>
                <c:pt idx="11">
                  <c:v>84</c:v>
                </c:pt>
              </c:numCache>
            </c:numRef>
          </c:val>
        </c:ser>
        <c:ser>
          <c:idx val="2"/>
          <c:order val="2"/>
          <c:tx>
            <c:strRef>
              <c:f>MAL!$J$7</c:f>
              <c:strCache>
                <c:ptCount val="1"/>
                <c:pt idx="0">
                  <c:v>P3 (kwh)</c:v>
                </c:pt>
              </c:strCache>
            </c:strRef>
          </c:tx>
          <c:val>
            <c:numRef>
              <c:f>MAL!$J$8:$J$19</c:f>
              <c:numCache>
                <c:formatCode>General</c:formatCode>
                <c:ptCount val="12"/>
                <c:pt idx="0">
                  <c:v>55</c:v>
                </c:pt>
                <c:pt idx="1">
                  <c:v>87</c:v>
                </c:pt>
                <c:pt idx="2">
                  <c:v>98</c:v>
                </c:pt>
                <c:pt idx="3">
                  <c:v>55</c:v>
                </c:pt>
                <c:pt idx="4">
                  <c:v>42</c:v>
                </c:pt>
                <c:pt idx="5">
                  <c:v>29</c:v>
                </c:pt>
                <c:pt idx="6">
                  <c:v>30</c:v>
                </c:pt>
                <c:pt idx="7">
                  <c:v>33</c:v>
                </c:pt>
                <c:pt idx="8">
                  <c:v>22</c:v>
                </c:pt>
                <c:pt idx="9">
                  <c:v>23</c:v>
                </c:pt>
                <c:pt idx="10">
                  <c:v>32</c:v>
                </c:pt>
                <c:pt idx="11">
                  <c:v>37</c:v>
                </c:pt>
              </c:numCache>
            </c:numRef>
          </c:val>
        </c:ser>
        <c:overlap val="100"/>
        <c:axId val="117969664"/>
        <c:axId val="117971200"/>
      </c:barChart>
      <c:catAx>
        <c:axId val="117969664"/>
        <c:scaling>
          <c:orientation val="minMax"/>
        </c:scaling>
        <c:axPos val="b"/>
        <c:tickLblPos val="nextTo"/>
        <c:crossAx val="117971200"/>
        <c:crosses val="autoZero"/>
        <c:auto val="1"/>
        <c:lblAlgn val="ctr"/>
        <c:lblOffset val="100"/>
      </c:catAx>
      <c:valAx>
        <c:axId val="117971200"/>
        <c:scaling>
          <c:orientation val="minMax"/>
        </c:scaling>
        <c:axPos val="l"/>
        <c:majorGridlines/>
        <c:numFmt formatCode="General" sourceLinked="1"/>
        <c:tickLblPos val="nextTo"/>
        <c:crossAx val="1179696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MAL!$R$7</c:f>
              <c:strCache>
                <c:ptCount val="1"/>
                <c:pt idx="0">
                  <c:v>P1 (€)</c:v>
                </c:pt>
              </c:strCache>
            </c:strRef>
          </c:tx>
          <c:val>
            <c:numRef>
              <c:f>MAL!$R$8:$R$19</c:f>
              <c:numCache>
                <c:formatCode>#,##0.00</c:formatCode>
                <c:ptCount val="12"/>
                <c:pt idx="0">
                  <c:v>498.11984150399996</c:v>
                </c:pt>
                <c:pt idx="1">
                  <c:v>466.98735140999997</c:v>
                </c:pt>
                <c:pt idx="2">
                  <c:v>349.48730815200003</c:v>
                </c:pt>
                <c:pt idx="3">
                  <c:v>169.49911273399999</c:v>
                </c:pt>
                <c:pt idx="4">
                  <c:v>160.68381983999998</c:v>
                </c:pt>
                <c:pt idx="5">
                  <c:v>147.01453655500001</c:v>
                </c:pt>
                <c:pt idx="6">
                  <c:v>142.27213215</c:v>
                </c:pt>
                <c:pt idx="7">
                  <c:v>147.01453655500001</c:v>
                </c:pt>
                <c:pt idx="8">
                  <c:v>147.01453655500001</c:v>
                </c:pt>
                <c:pt idx="9">
                  <c:v>142.27213215</c:v>
                </c:pt>
                <c:pt idx="10">
                  <c:v>147.01453655500001</c:v>
                </c:pt>
                <c:pt idx="11">
                  <c:v>186.794940564</c:v>
                </c:pt>
              </c:numCache>
            </c:numRef>
          </c:val>
        </c:ser>
        <c:ser>
          <c:idx val="1"/>
          <c:order val="1"/>
          <c:tx>
            <c:strRef>
              <c:f>MAL!$S$7</c:f>
              <c:strCache>
                <c:ptCount val="1"/>
                <c:pt idx="0">
                  <c:v>P2 (€)</c:v>
                </c:pt>
              </c:strCache>
            </c:strRef>
          </c:tx>
          <c:val>
            <c:numRef>
              <c:f>MAL!$S$8:$S$19</c:f>
              <c:numCache>
                <c:formatCode>#,##0.00</c:formatCode>
                <c:ptCount val="12"/>
                <c:pt idx="0">
                  <c:v>273.96590218800003</c:v>
                </c:pt>
                <c:pt idx="1">
                  <c:v>342.45737773500002</c:v>
                </c:pt>
                <c:pt idx="2">
                  <c:v>337.83771809400002</c:v>
                </c:pt>
                <c:pt idx="3">
                  <c:v>130.75645331699999</c:v>
                </c:pt>
                <c:pt idx="4">
                  <c:v>102.43593117</c:v>
                </c:pt>
                <c:pt idx="5">
                  <c:v>105.85046220900001</c:v>
                </c:pt>
                <c:pt idx="6">
                  <c:v>102.43593117</c:v>
                </c:pt>
                <c:pt idx="7">
                  <c:v>105.85046220900001</c:v>
                </c:pt>
                <c:pt idx="8">
                  <c:v>105.85046220900001</c:v>
                </c:pt>
                <c:pt idx="9">
                  <c:v>102.43593117</c:v>
                </c:pt>
                <c:pt idx="10">
                  <c:v>105.85046220900001</c:v>
                </c:pt>
                <c:pt idx="11">
                  <c:v>261.51290663399999</c:v>
                </c:pt>
              </c:numCache>
            </c:numRef>
          </c:val>
        </c:ser>
        <c:ser>
          <c:idx val="2"/>
          <c:order val="2"/>
          <c:tx>
            <c:strRef>
              <c:f>MAL!$T$7</c:f>
              <c:strCache>
                <c:ptCount val="1"/>
                <c:pt idx="0">
                  <c:v>P3 (€)</c:v>
                </c:pt>
              </c:strCache>
            </c:strRef>
          </c:tx>
          <c:val>
            <c:numRef>
              <c:f>MAL!$T$8:$T$19</c:f>
              <c:numCache>
                <c:formatCode>#,##0.00</c:formatCode>
                <c:ptCount val="12"/>
                <c:pt idx="0">
                  <c:v>83.019978419999987</c:v>
                </c:pt>
                <c:pt idx="1">
                  <c:v>215.85194389199998</c:v>
                </c:pt>
                <c:pt idx="2">
                  <c:v>244.641129957</c:v>
                </c:pt>
                <c:pt idx="3">
                  <c:v>83.019978419999987</c:v>
                </c:pt>
                <c:pt idx="4">
                  <c:v>56.908856174999997</c:v>
                </c:pt>
                <c:pt idx="5">
                  <c:v>58.805818047499997</c:v>
                </c:pt>
                <c:pt idx="6">
                  <c:v>56.908856174999997</c:v>
                </c:pt>
                <c:pt idx="7">
                  <c:v>58.805818047499997</c:v>
                </c:pt>
                <c:pt idx="8">
                  <c:v>58.805818047499997</c:v>
                </c:pt>
                <c:pt idx="9">
                  <c:v>56.908856174999997</c:v>
                </c:pt>
                <c:pt idx="10">
                  <c:v>58.805818047499997</c:v>
                </c:pt>
                <c:pt idx="11">
                  <c:v>58.805818047499997</c:v>
                </c:pt>
              </c:numCache>
            </c:numRef>
          </c:val>
        </c:ser>
        <c:overlap val="100"/>
        <c:axId val="117988352"/>
        <c:axId val="118002432"/>
      </c:barChart>
      <c:catAx>
        <c:axId val="117988352"/>
        <c:scaling>
          <c:orientation val="minMax"/>
        </c:scaling>
        <c:axPos val="b"/>
        <c:tickLblPos val="nextTo"/>
        <c:crossAx val="118002432"/>
        <c:crosses val="autoZero"/>
        <c:auto val="1"/>
        <c:lblAlgn val="ctr"/>
        <c:lblOffset val="100"/>
      </c:catAx>
      <c:valAx>
        <c:axId val="118002432"/>
        <c:scaling>
          <c:orientation val="minMax"/>
        </c:scaling>
        <c:axPos val="l"/>
        <c:majorGridlines/>
        <c:numFmt formatCode="#,##0.00" sourceLinked="1"/>
        <c:tickLblPos val="nextTo"/>
        <c:crossAx val="1179883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7.0599518810148754E-2"/>
          <c:y val="7.4548702245552642E-2"/>
          <c:w val="0.68633092738407719"/>
          <c:h val="0.79822506561679785"/>
        </c:manualLayout>
      </c:layout>
      <c:lineChart>
        <c:grouping val="standard"/>
        <c:ser>
          <c:idx val="0"/>
          <c:order val="0"/>
          <c:tx>
            <c:strRef>
              <c:f>MAL!$H$7</c:f>
              <c:strCache>
                <c:ptCount val="1"/>
                <c:pt idx="0">
                  <c:v>P1 (kwh)</c:v>
                </c:pt>
              </c:strCache>
            </c:strRef>
          </c:tx>
          <c:marker>
            <c:symbol val="none"/>
          </c:marker>
          <c:val>
            <c:numRef>
              <c:f>MAL!$H$8:$H$19</c:f>
              <c:numCache>
                <c:formatCode>General</c:formatCode>
                <c:ptCount val="12"/>
                <c:pt idx="0">
                  <c:v>83</c:v>
                </c:pt>
                <c:pt idx="1">
                  <c:v>80</c:v>
                </c:pt>
                <c:pt idx="2">
                  <c:v>71</c:v>
                </c:pt>
                <c:pt idx="3">
                  <c:v>49</c:v>
                </c:pt>
                <c:pt idx="4">
                  <c:v>48</c:v>
                </c:pt>
                <c:pt idx="5">
                  <c:v>36</c:v>
                </c:pt>
                <c:pt idx="6">
                  <c:v>38</c:v>
                </c:pt>
                <c:pt idx="7">
                  <c:v>36</c:v>
                </c:pt>
                <c:pt idx="8">
                  <c:v>36</c:v>
                </c:pt>
                <c:pt idx="9">
                  <c:v>40</c:v>
                </c:pt>
                <c:pt idx="10">
                  <c:v>38</c:v>
                </c:pt>
                <c:pt idx="11">
                  <c:v>53</c:v>
                </c:pt>
              </c:numCache>
            </c:numRef>
          </c:val>
        </c:ser>
        <c:ser>
          <c:idx val="1"/>
          <c:order val="1"/>
          <c:tx>
            <c:strRef>
              <c:f>MAL!$I$7</c:f>
              <c:strCache>
                <c:ptCount val="1"/>
                <c:pt idx="0">
                  <c:v>P2 (kwh)</c:v>
                </c:pt>
              </c:strCache>
            </c:strRef>
          </c:tx>
          <c:marker>
            <c:symbol val="none"/>
          </c:marker>
          <c:val>
            <c:numRef>
              <c:f>MAL!$I$8:$I$19</c:f>
              <c:numCache>
                <c:formatCode>General</c:formatCode>
                <c:ptCount val="12"/>
                <c:pt idx="0">
                  <c:v>86</c:v>
                </c:pt>
                <c:pt idx="1">
                  <c:v>97</c:v>
                </c:pt>
                <c:pt idx="2">
                  <c:v>100</c:v>
                </c:pt>
                <c:pt idx="3">
                  <c:v>63</c:v>
                </c:pt>
                <c:pt idx="4">
                  <c:v>50</c:v>
                </c:pt>
                <c:pt idx="5">
                  <c:v>40</c:v>
                </c:pt>
                <c:pt idx="6">
                  <c:v>46</c:v>
                </c:pt>
                <c:pt idx="7">
                  <c:v>37</c:v>
                </c:pt>
                <c:pt idx="8">
                  <c:v>40</c:v>
                </c:pt>
                <c:pt idx="9">
                  <c:v>40</c:v>
                </c:pt>
                <c:pt idx="10">
                  <c:v>46</c:v>
                </c:pt>
                <c:pt idx="11">
                  <c:v>84</c:v>
                </c:pt>
              </c:numCache>
            </c:numRef>
          </c:val>
        </c:ser>
        <c:ser>
          <c:idx val="2"/>
          <c:order val="2"/>
          <c:tx>
            <c:strRef>
              <c:f>MAL!$J$7</c:f>
              <c:strCache>
                <c:ptCount val="1"/>
                <c:pt idx="0">
                  <c:v>P3 (kwh)</c:v>
                </c:pt>
              </c:strCache>
            </c:strRef>
          </c:tx>
          <c:marker>
            <c:symbol val="none"/>
          </c:marker>
          <c:val>
            <c:numRef>
              <c:f>MAL!$J$8:$J$19</c:f>
              <c:numCache>
                <c:formatCode>General</c:formatCode>
                <c:ptCount val="12"/>
                <c:pt idx="0">
                  <c:v>55</c:v>
                </c:pt>
                <c:pt idx="1">
                  <c:v>87</c:v>
                </c:pt>
                <c:pt idx="2">
                  <c:v>98</c:v>
                </c:pt>
                <c:pt idx="3">
                  <c:v>55</c:v>
                </c:pt>
                <c:pt idx="4">
                  <c:v>42</c:v>
                </c:pt>
                <c:pt idx="5">
                  <c:v>29</c:v>
                </c:pt>
                <c:pt idx="6">
                  <c:v>30</c:v>
                </c:pt>
                <c:pt idx="7">
                  <c:v>33</c:v>
                </c:pt>
                <c:pt idx="8">
                  <c:v>22</c:v>
                </c:pt>
                <c:pt idx="9">
                  <c:v>23</c:v>
                </c:pt>
                <c:pt idx="10">
                  <c:v>32</c:v>
                </c:pt>
                <c:pt idx="11">
                  <c:v>37</c:v>
                </c:pt>
              </c:numCache>
            </c:numRef>
          </c:val>
        </c:ser>
        <c:marker val="1"/>
        <c:axId val="118228480"/>
        <c:axId val="118230016"/>
      </c:lineChart>
      <c:catAx>
        <c:axId val="118228480"/>
        <c:scaling>
          <c:orientation val="minMax"/>
        </c:scaling>
        <c:axPos val="b"/>
        <c:tickLblPos val="nextTo"/>
        <c:crossAx val="118230016"/>
        <c:crosses val="autoZero"/>
        <c:auto val="1"/>
        <c:lblAlgn val="ctr"/>
        <c:lblOffset val="100"/>
      </c:catAx>
      <c:valAx>
        <c:axId val="118230016"/>
        <c:scaling>
          <c:orientation val="minMax"/>
        </c:scaling>
        <c:axPos val="l"/>
        <c:majorGridlines/>
        <c:numFmt formatCode="General" sourceLinked="1"/>
        <c:tickLblPos val="nextTo"/>
        <c:crossAx val="1182284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27</xdr:row>
      <xdr:rowOff>9525</xdr:rowOff>
    </xdr:from>
    <xdr:to>
      <xdr:col>5</xdr:col>
      <xdr:colOff>1095374</xdr:colOff>
      <xdr:row>39</xdr:row>
      <xdr:rowOff>104775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466725</xdr:colOff>
      <xdr:row>27</xdr:row>
      <xdr:rowOff>9525</xdr:rowOff>
    </xdr:from>
    <xdr:to>
      <xdr:col>10</xdr:col>
      <xdr:colOff>847725</xdr:colOff>
      <xdr:row>39</xdr:row>
      <xdr:rowOff>76200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571500</xdr:colOff>
      <xdr:row>27</xdr:row>
      <xdr:rowOff>19050</xdr:rowOff>
    </xdr:from>
    <xdr:to>
      <xdr:col>21</xdr:col>
      <xdr:colOff>0</xdr:colOff>
      <xdr:row>41</xdr:row>
      <xdr:rowOff>95250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409575</xdr:colOff>
      <xdr:row>40</xdr:row>
      <xdr:rowOff>104775</xdr:rowOff>
    </xdr:from>
    <xdr:to>
      <xdr:col>10</xdr:col>
      <xdr:colOff>828675</xdr:colOff>
      <xdr:row>51</xdr:row>
      <xdr:rowOff>142875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27</xdr:row>
      <xdr:rowOff>9525</xdr:rowOff>
    </xdr:from>
    <xdr:to>
      <xdr:col>5</xdr:col>
      <xdr:colOff>1095374</xdr:colOff>
      <xdr:row>39</xdr:row>
      <xdr:rowOff>104775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466725</xdr:colOff>
      <xdr:row>27</xdr:row>
      <xdr:rowOff>9525</xdr:rowOff>
    </xdr:from>
    <xdr:to>
      <xdr:col>10</xdr:col>
      <xdr:colOff>847725</xdr:colOff>
      <xdr:row>39</xdr:row>
      <xdr:rowOff>76200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571500</xdr:colOff>
      <xdr:row>27</xdr:row>
      <xdr:rowOff>19050</xdr:rowOff>
    </xdr:from>
    <xdr:to>
      <xdr:col>21</xdr:col>
      <xdr:colOff>0</xdr:colOff>
      <xdr:row>41</xdr:row>
      <xdr:rowOff>95250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409575</xdr:colOff>
      <xdr:row>40</xdr:row>
      <xdr:rowOff>104775</xdr:rowOff>
    </xdr:from>
    <xdr:to>
      <xdr:col>10</xdr:col>
      <xdr:colOff>828675</xdr:colOff>
      <xdr:row>51</xdr:row>
      <xdr:rowOff>142875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X26"/>
  <sheetViews>
    <sheetView topLeftCell="J1" workbookViewId="0">
      <selection activeCell="N10" sqref="N10"/>
    </sheetView>
  </sheetViews>
  <sheetFormatPr baseColWidth="10" defaultRowHeight="15"/>
  <cols>
    <col min="1" max="1" width="3" customWidth="1"/>
    <col min="5" max="5" width="15.42578125" bestFit="1" customWidth="1"/>
    <col min="6" max="6" width="16.7109375" bestFit="1" customWidth="1"/>
    <col min="7" max="7" width="7.140625" customWidth="1"/>
    <col min="8" max="8" width="13.140625" customWidth="1"/>
    <col min="9" max="9" width="13.5703125" customWidth="1"/>
    <col min="10" max="11" width="13.28515625" customWidth="1"/>
    <col min="12" max="12" width="6.42578125" customWidth="1"/>
    <col min="13" max="15" width="13.28515625" customWidth="1"/>
    <col min="16" max="16" width="10.5703125" customWidth="1"/>
    <col min="17" max="17" width="4.85546875" customWidth="1"/>
    <col min="22" max="22" width="7.5703125" customWidth="1"/>
    <col min="23" max="23" width="21.42578125" bestFit="1" customWidth="1"/>
  </cols>
  <sheetData>
    <row r="1" spans="2:24">
      <c r="M1" s="18" t="s">
        <v>27</v>
      </c>
      <c r="N1" s="18"/>
      <c r="O1" s="18"/>
    </row>
    <row r="2" spans="2:24">
      <c r="M2" s="4" t="s">
        <v>19</v>
      </c>
      <c r="N2" s="4" t="s">
        <v>20</v>
      </c>
      <c r="O2" s="4" t="s">
        <v>21</v>
      </c>
    </row>
    <row r="3" spans="2:24">
      <c r="M3" s="2">
        <v>50</v>
      </c>
      <c r="N3" s="2">
        <v>60</v>
      </c>
      <c r="O3" s="2">
        <v>50</v>
      </c>
    </row>
    <row r="4" spans="2:24">
      <c r="L4" s="23">
        <v>0.85</v>
      </c>
      <c r="M4">
        <f>M3*0.85</f>
        <v>42.5</v>
      </c>
      <c r="N4">
        <f t="shared" ref="N4:O4" si="0">N3*0.85</f>
        <v>51</v>
      </c>
      <c r="O4">
        <f t="shared" si="0"/>
        <v>42.5</v>
      </c>
    </row>
    <row r="6" spans="2:24">
      <c r="H6" s="17" t="s">
        <v>28</v>
      </c>
      <c r="I6" s="17"/>
      <c r="J6" s="17"/>
      <c r="K6" s="17"/>
      <c r="M6" s="19" t="s">
        <v>27</v>
      </c>
      <c r="N6" s="20"/>
      <c r="O6" s="21"/>
      <c r="P6" s="5"/>
      <c r="R6" s="18" t="s">
        <v>29</v>
      </c>
      <c r="S6" s="18"/>
      <c r="T6" s="18"/>
      <c r="U6" s="18"/>
      <c r="W6" s="22" t="s">
        <v>27</v>
      </c>
      <c r="X6" s="22" t="s">
        <v>30</v>
      </c>
    </row>
    <row r="7" spans="2:24">
      <c r="B7" s="1"/>
      <c r="C7" s="1" t="s">
        <v>12</v>
      </c>
      <c r="D7" s="1" t="s">
        <v>13</v>
      </c>
      <c r="E7" s="1" t="s">
        <v>14</v>
      </c>
      <c r="F7" s="1" t="s">
        <v>15</v>
      </c>
      <c r="H7" s="2" t="s">
        <v>16</v>
      </c>
      <c r="I7" s="2" t="s">
        <v>17</v>
      </c>
      <c r="J7" s="2" t="s">
        <v>18</v>
      </c>
      <c r="K7" s="7" t="s">
        <v>25</v>
      </c>
      <c r="L7" s="5"/>
      <c r="M7" s="4" t="s">
        <v>19</v>
      </c>
      <c r="N7" s="4" t="s">
        <v>20</v>
      </c>
      <c r="O7" s="4" t="s">
        <v>21</v>
      </c>
      <c r="P7" s="3" t="s">
        <v>31</v>
      </c>
      <c r="R7" s="4" t="s">
        <v>19</v>
      </c>
      <c r="S7" s="4" t="s">
        <v>20</v>
      </c>
      <c r="T7" s="4" t="s">
        <v>21</v>
      </c>
      <c r="U7" s="14" t="s">
        <v>25</v>
      </c>
      <c r="W7" s="6">
        <v>135</v>
      </c>
      <c r="X7" s="12">
        <v>9398.4970498290004</v>
      </c>
    </row>
    <row r="8" spans="2:24">
      <c r="B8" s="1" t="s">
        <v>11</v>
      </c>
      <c r="C8" s="15">
        <v>409.88</v>
      </c>
      <c r="D8" s="15">
        <v>110.76</v>
      </c>
      <c r="E8" s="15">
        <f>390.28+1260.89+292.8-116.64</f>
        <v>1827.33</v>
      </c>
      <c r="F8" s="15">
        <v>339.03</v>
      </c>
      <c r="H8" s="2">
        <f>67+16</f>
        <v>83</v>
      </c>
      <c r="I8" s="2">
        <f>70+16</f>
        <v>86</v>
      </c>
      <c r="J8" s="2">
        <f>36+19</f>
        <v>55</v>
      </c>
      <c r="K8" s="7">
        <f>SUM(H8:J8)</f>
        <v>224</v>
      </c>
      <c r="L8" s="5"/>
      <c r="M8" s="2">
        <f>IF(H8&lt;0.85*M$3,0.85*M$3,IF(H8&gt;1.05*M$3,H8+2*(H8-1.05*M$3),H8))</f>
        <v>144</v>
      </c>
      <c r="N8" s="2">
        <f>IF(I8&lt;0.85*N$3,0.85*N$3,IF(I8&gt;1.05*N$3,I8+2*(I8-1.05*N$3),I8))</f>
        <v>132</v>
      </c>
      <c r="O8" s="2">
        <f>IF(J8&lt;0.85*O$3,0.85*O$3,IF(J8&gt;1.05*O$3,J8+2*(J8-1.05*O$3),J8))</f>
        <v>60</v>
      </c>
      <c r="P8" s="2">
        <v>31</v>
      </c>
      <c r="R8" s="9">
        <f>H$24*M8*$P8</f>
        <v>498.11984150399996</v>
      </c>
      <c r="S8" s="9">
        <f t="shared" ref="S8:T19" si="1">I$24*N8*$P8</f>
        <v>273.96590218800003</v>
      </c>
      <c r="T8" s="9">
        <f t="shared" si="1"/>
        <v>83.019978419999987</v>
      </c>
      <c r="U8" s="14">
        <f>SUM(R8:T8)</f>
        <v>855.10572211200008</v>
      </c>
      <c r="W8" s="6">
        <v>100</v>
      </c>
      <c r="X8" s="6">
        <v>7037.5495984049994</v>
      </c>
    </row>
    <row r="9" spans="2:24">
      <c r="B9" s="1" t="s">
        <v>0</v>
      </c>
      <c r="C9" s="15">
        <v>525.72</v>
      </c>
      <c r="D9" s="15">
        <v>142.06</v>
      </c>
      <c r="E9" s="15">
        <f>417.88+1781.46+374.8-154.45</f>
        <v>2419.6900000000005</v>
      </c>
      <c r="F9" s="15">
        <v>358.94</v>
      </c>
      <c r="H9" s="2">
        <f>62+18</f>
        <v>80</v>
      </c>
      <c r="I9" s="2">
        <f>77+20</f>
        <v>97</v>
      </c>
      <c r="J9" s="2">
        <f>68+19</f>
        <v>87</v>
      </c>
      <c r="K9" s="7">
        <f t="shared" ref="K9:K19" si="2">SUM(H9:J9)</f>
        <v>264</v>
      </c>
      <c r="L9" s="5"/>
      <c r="M9" s="2">
        <f>IF(H9&lt;0.85*M$3,0.85*M$3,IF(H9&gt;1.05*M$3,H9+2*(H9-1.05*M$3),H9))</f>
        <v>135</v>
      </c>
      <c r="N9" s="2">
        <f>IF(I9&lt;0.85*N$3,0.85*N$3,IF(I9&gt;1.05*N$3,I9+2*(I9-1.05*N$3),I9))</f>
        <v>165</v>
      </c>
      <c r="O9" s="2">
        <f>IF(J9&lt;0.85*O$3,0.85*O$3,IF(J9&gt;1.05*O$3,J9+2*(J9-1.05*O$3),J9))</f>
        <v>156</v>
      </c>
      <c r="P9" s="2">
        <v>31</v>
      </c>
      <c r="R9" s="9">
        <f t="shared" ref="R9:R19" si="3">H$24*M9*$P9</f>
        <v>466.98735140999997</v>
      </c>
      <c r="S9" s="9">
        <f t="shared" si="1"/>
        <v>342.45737773500002</v>
      </c>
      <c r="T9" s="9">
        <f t="shared" si="1"/>
        <v>215.85194389199998</v>
      </c>
      <c r="U9" s="14">
        <f t="shared" ref="U9:U19" si="4">SUM(R9:T9)</f>
        <v>1025.2966730369999</v>
      </c>
      <c r="W9" s="6">
        <v>50</v>
      </c>
      <c r="X9" s="12">
        <v>5995.392261332001</v>
      </c>
    </row>
    <row r="10" spans="2:24">
      <c r="B10" s="1" t="s">
        <v>1</v>
      </c>
      <c r="C10" s="15">
        <v>489.62</v>
      </c>
      <c r="D10" s="15">
        <v>132.31</v>
      </c>
      <c r="E10" s="15">
        <f>398.49+1634.13+366.23-143.75</f>
        <v>2255.1000000000004</v>
      </c>
      <c r="F10" s="15">
        <v>335.78</v>
      </c>
      <c r="H10" s="2">
        <f>48+23</f>
        <v>71</v>
      </c>
      <c r="I10" s="2">
        <f>77+23</f>
        <v>100</v>
      </c>
      <c r="J10" s="2">
        <f>77+21</f>
        <v>98</v>
      </c>
      <c r="K10" s="7">
        <f t="shared" si="2"/>
        <v>269</v>
      </c>
      <c r="L10" s="5"/>
      <c r="M10" s="2">
        <f>IF(H10&lt;0.85*M$3,0.85*M$3,IF(H10&gt;1.05*M$3,H10+2*(H10-1.05*M$3),H10))</f>
        <v>108</v>
      </c>
      <c r="N10" s="2">
        <f>IF(I10&lt;0.85*N$3,0.85*N$3,IF(I10&gt;1.05*N$3,I10+2*(I10-1.05*N$3),I10))</f>
        <v>174</v>
      </c>
      <c r="O10" s="2">
        <f>IF(J10&lt;0.85*O$3,0.85*O$3,IF(J10&gt;1.05*O$3,J10+2*(J10-1.05*O$3),J10))</f>
        <v>189</v>
      </c>
      <c r="P10" s="2">
        <v>29</v>
      </c>
      <c r="R10" s="9">
        <f t="shared" si="3"/>
        <v>349.48730815200003</v>
      </c>
      <c r="S10" s="9">
        <f>I$24*N10*$P10</f>
        <v>337.83771809400002</v>
      </c>
      <c r="T10" s="9">
        <f t="shared" si="1"/>
        <v>244.641129957</v>
      </c>
      <c r="U10" s="14">
        <f t="shared" si="4"/>
        <v>931.96615620300008</v>
      </c>
      <c r="W10" s="6">
        <v>25</v>
      </c>
      <c r="X10" s="6">
        <v>8626.9580233974993</v>
      </c>
    </row>
    <row r="11" spans="2:24">
      <c r="B11" s="1" t="s">
        <v>2</v>
      </c>
      <c r="C11" s="15">
        <v>351.78</v>
      </c>
      <c r="D11" s="15">
        <v>95.06</v>
      </c>
      <c r="E11" s="15">
        <f>343.5+976.58+276.04-95.77</f>
        <v>1500.35</v>
      </c>
      <c r="F11" s="15">
        <v>358.94</v>
      </c>
      <c r="H11" s="2">
        <f>36+13</f>
        <v>49</v>
      </c>
      <c r="I11" s="2">
        <f>45+18</f>
        <v>63</v>
      </c>
      <c r="J11" s="2">
        <f>38+17</f>
        <v>55</v>
      </c>
      <c r="K11" s="7">
        <f t="shared" si="2"/>
        <v>167</v>
      </c>
      <c r="L11" s="5"/>
      <c r="M11" s="2">
        <f>IF(H11&lt;0.85*M$3,0.85*M$3,IF(H11&gt;1.05*M$3,H11+2*(H11-1.05*M$3),H11))</f>
        <v>49</v>
      </c>
      <c r="N11" s="2">
        <f>IF(I11&lt;0.85*N$3,0.85*N$3,IF(I11&gt;1.05*N$3,I11+2*(I11-1.05*N$3),I11))</f>
        <v>63</v>
      </c>
      <c r="O11" s="2">
        <f>IF(J11&lt;0.85*O$3,0.85*O$3,IF(J11&gt;1.05*O$3,J11+2*(J11-1.05*O$3),J11))</f>
        <v>60</v>
      </c>
      <c r="P11" s="2">
        <v>31</v>
      </c>
      <c r="R11" s="9">
        <f t="shared" si="3"/>
        <v>169.49911273399999</v>
      </c>
      <c r="S11" s="9">
        <f t="shared" si="1"/>
        <v>130.75645331699999</v>
      </c>
      <c r="T11" s="9">
        <f t="shared" si="1"/>
        <v>83.019978419999987</v>
      </c>
      <c r="U11" s="14">
        <f t="shared" si="4"/>
        <v>383.27554447099993</v>
      </c>
      <c r="W11" s="6">
        <v>45</v>
      </c>
      <c r="X11" s="6">
        <v>6184.1678503979992</v>
      </c>
    </row>
    <row r="12" spans="2:24">
      <c r="B12" s="1" t="s">
        <v>3</v>
      </c>
      <c r="C12" s="15">
        <v>289.94</v>
      </c>
      <c r="D12" s="15">
        <v>78.349999999999994</v>
      </c>
      <c r="E12" s="15">
        <f>355.08+683.49+203.34-74.51</f>
        <v>1167.3999999999999</v>
      </c>
      <c r="F12" s="15">
        <v>365.04</v>
      </c>
      <c r="H12" s="2">
        <f>37+11</f>
        <v>48</v>
      </c>
      <c r="I12" s="2">
        <f>37+13</f>
        <v>50</v>
      </c>
      <c r="J12" s="2">
        <f>28+14</f>
        <v>42</v>
      </c>
      <c r="K12" s="7">
        <f t="shared" si="2"/>
        <v>140</v>
      </c>
      <c r="L12" s="5"/>
      <c r="M12" s="2">
        <f>IF(H12&lt;0.85*M$3,0.85*M$3,IF(H12&gt;1.05*M$3,H12+2*(H12-1.05*M$3),H12))</f>
        <v>48</v>
      </c>
      <c r="N12" s="2">
        <f>IF(I12&lt;0.85*N$3,0.85*N$3,IF(I12&gt;1.05*N$3,I12+2*(I12-1.05*N$3),I12))</f>
        <v>51</v>
      </c>
      <c r="O12" s="2">
        <f>IF(J12&lt;0.85*O$3,0.85*O$3,IF(J12&gt;1.05*O$3,J12+2*(J12-1.05*O$3),J12))</f>
        <v>42.5</v>
      </c>
      <c r="P12" s="2">
        <v>30</v>
      </c>
      <c r="R12" s="9">
        <f t="shared" si="3"/>
        <v>160.68381983999998</v>
      </c>
      <c r="S12" s="9">
        <f t="shared" si="1"/>
        <v>102.43593117</v>
      </c>
      <c r="T12" s="9">
        <f t="shared" si="1"/>
        <v>56.908856174999997</v>
      </c>
      <c r="U12" s="14">
        <f t="shared" si="4"/>
        <v>320.02860718499994</v>
      </c>
      <c r="W12" s="6">
        <v>55</v>
      </c>
      <c r="X12" s="6">
        <v>5907.5964105092498</v>
      </c>
    </row>
    <row r="13" spans="2:24">
      <c r="B13" s="1" t="s">
        <v>4</v>
      </c>
      <c r="C13" s="15">
        <v>279.69</v>
      </c>
      <c r="D13" s="15">
        <v>75.58</v>
      </c>
      <c r="E13" s="15">
        <f>329.58+654.86+186.89-70.28</f>
        <v>1101.05</v>
      </c>
      <c r="F13" s="15">
        <v>377.21</v>
      </c>
      <c r="H13" s="2">
        <f>30+6</f>
        <v>36</v>
      </c>
      <c r="I13" s="2">
        <f>29+11</f>
        <v>40</v>
      </c>
      <c r="J13" s="2">
        <f>21+8</f>
        <v>29</v>
      </c>
      <c r="K13" s="7">
        <f t="shared" si="2"/>
        <v>105</v>
      </c>
      <c r="L13" s="5"/>
      <c r="M13" s="2">
        <f>IF(H13&lt;0.85*M$3,0.85*M$3,IF(H13&gt;1.05*M$3,H13+2*(H13-1.05*M$3),H13))</f>
        <v>42.5</v>
      </c>
      <c r="N13" s="2">
        <f>IF(I13&lt;0.85*N$3,0.85*N$3,IF(I13&gt;1.05*N$3,I13+2*(I13-1.05*N$3),I13))</f>
        <v>51</v>
      </c>
      <c r="O13" s="2">
        <f>IF(J13&lt;0.85*O$3,0.85*O$3,IF(J13&gt;1.05*O$3,J13+2*(J13-1.05*O$3),J13))</f>
        <v>42.5</v>
      </c>
      <c r="P13" s="2">
        <v>31</v>
      </c>
      <c r="R13" s="9">
        <f t="shared" si="3"/>
        <v>147.01453655500001</v>
      </c>
      <c r="S13" s="9">
        <f t="shared" si="1"/>
        <v>105.85046220900001</v>
      </c>
      <c r="T13" s="9">
        <f t="shared" si="1"/>
        <v>58.805818047499997</v>
      </c>
      <c r="U13" s="14">
        <f t="shared" si="4"/>
        <v>311.6708168115</v>
      </c>
      <c r="W13" s="6">
        <v>60</v>
      </c>
      <c r="X13" s="6">
        <v>5870.3601701160014</v>
      </c>
    </row>
    <row r="14" spans="2:24">
      <c r="B14" s="1" t="s">
        <v>5</v>
      </c>
      <c r="C14" s="15">
        <v>277.13</v>
      </c>
      <c r="D14" s="15">
        <v>74.89</v>
      </c>
      <c r="E14" s="15">
        <f>348.04+367.79+184.02-70.19</f>
        <v>829.66000000000008</v>
      </c>
      <c r="F14" s="15">
        <v>365.04</v>
      </c>
      <c r="H14" s="2">
        <f>31+7</f>
        <v>38</v>
      </c>
      <c r="I14" s="2">
        <f>35+11</f>
        <v>46</v>
      </c>
      <c r="J14" s="2">
        <f>22+8</f>
        <v>30</v>
      </c>
      <c r="K14" s="7">
        <f t="shared" si="2"/>
        <v>114</v>
      </c>
      <c r="L14" s="5"/>
      <c r="M14" s="2">
        <f>IF(H14&lt;0.85*M$3,0.85*M$3,IF(H14&gt;1.05*M$3,H14+2*(H14-1.05*M$3),H14))</f>
        <v>42.5</v>
      </c>
      <c r="N14" s="2">
        <f>IF(I14&lt;0.85*N$3,0.85*N$3,IF(I14&gt;1.05*N$3,I14+2*(I14-1.05*N$3),I14))</f>
        <v>51</v>
      </c>
      <c r="O14" s="2">
        <f>IF(J14&lt;0.85*O$3,0.85*O$3,IF(J14&gt;1.05*O$3,J14+2*(J14-1.05*O$3),J14))</f>
        <v>42.5</v>
      </c>
      <c r="P14" s="2">
        <v>30</v>
      </c>
      <c r="R14" s="9">
        <f t="shared" si="3"/>
        <v>142.27213215</v>
      </c>
      <c r="S14" s="9">
        <f t="shared" si="1"/>
        <v>102.43593117</v>
      </c>
      <c r="T14" s="9">
        <f t="shared" si="1"/>
        <v>56.908856174999997</v>
      </c>
      <c r="U14" s="14">
        <f t="shared" si="4"/>
        <v>301.61691949499999</v>
      </c>
      <c r="W14" s="6">
        <v>75</v>
      </c>
      <c r="X14" s="6">
        <v>5992.630521731</v>
      </c>
    </row>
    <row r="15" spans="2:24">
      <c r="B15" s="1" t="s">
        <v>6</v>
      </c>
      <c r="C15" s="15">
        <v>267.74</v>
      </c>
      <c r="D15" s="15">
        <v>72.349999999999994</v>
      </c>
      <c r="E15" s="15">
        <f>310.49+610.25+183.41-66.25</f>
        <v>1037.9000000000001</v>
      </c>
      <c r="F15" s="15">
        <v>377.21</v>
      </c>
      <c r="H15" s="2">
        <f>25+11</f>
        <v>36</v>
      </c>
      <c r="I15" s="2">
        <f>26+11</f>
        <v>37</v>
      </c>
      <c r="J15" s="2">
        <f>21+12</f>
        <v>33</v>
      </c>
      <c r="K15" s="7">
        <f t="shared" si="2"/>
        <v>106</v>
      </c>
      <c r="L15" s="5"/>
      <c r="M15" s="2">
        <f>IF(H15&lt;0.85*M$3,0.85*M$3,IF(H15&gt;1.05*M$3,H15+2*(H15-1.05*M$3),H15))</f>
        <v>42.5</v>
      </c>
      <c r="N15" s="2">
        <f>IF(I15&lt;0.85*N$3,0.85*N$3,IF(I15&gt;1.05*N$3,I15+2*(I15-1.05*N$3),I15))</f>
        <v>51</v>
      </c>
      <c r="O15" s="2">
        <f>IF(J15&lt;0.85*O$3,0.85*O$3,IF(J15&gt;1.05*O$3,J15+2*(J15-1.05*O$3),J15))</f>
        <v>42.5</v>
      </c>
      <c r="P15" s="2">
        <v>31</v>
      </c>
      <c r="R15" s="9">
        <f t="shared" si="3"/>
        <v>147.01453655500001</v>
      </c>
      <c r="S15" s="9">
        <f t="shared" si="1"/>
        <v>105.85046220900001</v>
      </c>
      <c r="T15" s="9">
        <f t="shared" si="1"/>
        <v>58.805818047499997</v>
      </c>
      <c r="U15" s="14">
        <f t="shared" si="4"/>
        <v>311.6708168115</v>
      </c>
      <c r="W15" s="6">
        <v>65</v>
      </c>
      <c r="X15">
        <v>5881.8870045452504</v>
      </c>
    </row>
    <row r="16" spans="2:24">
      <c r="B16" s="1" t="s">
        <v>7</v>
      </c>
      <c r="C16" s="15">
        <f>299.68+14.8</f>
        <v>314.48</v>
      </c>
      <c r="D16" s="15">
        <v>73.41</v>
      </c>
      <c r="E16" s="15">
        <f>285.16+581.61+176.22-62.58</f>
        <v>980.41</v>
      </c>
      <c r="F16" s="15">
        <v>377.21</v>
      </c>
      <c r="H16" s="2">
        <f>25+11</f>
        <v>36</v>
      </c>
      <c r="I16" s="2">
        <f>28+12</f>
        <v>40</v>
      </c>
      <c r="J16" s="2">
        <f>13+9</f>
        <v>22</v>
      </c>
      <c r="K16" s="7">
        <f t="shared" si="2"/>
        <v>98</v>
      </c>
      <c r="L16" s="5"/>
      <c r="M16" s="2">
        <f>IF(H16&lt;0.85*M$3,0.85*M$3,IF(H16&gt;1.05*M$3,H16+2*(H16-1.05*M$3),H16))</f>
        <v>42.5</v>
      </c>
      <c r="N16" s="2">
        <f>IF(I16&lt;0.85*N$3,0.85*N$3,IF(I16&gt;1.05*N$3,I16+2*(I16-1.05*N$3),I16))</f>
        <v>51</v>
      </c>
      <c r="O16" s="2">
        <f>IF(J16&lt;0.85*O$3,0.85*O$3,IF(J16&gt;1.05*O$3,J16+2*(J16-1.05*O$3),J16))</f>
        <v>42.5</v>
      </c>
      <c r="P16" s="2">
        <v>31</v>
      </c>
      <c r="R16" s="9">
        <f t="shared" si="3"/>
        <v>147.01453655500001</v>
      </c>
      <c r="S16" s="9">
        <f t="shared" si="1"/>
        <v>105.85046220900001</v>
      </c>
      <c r="T16" s="9">
        <f t="shared" si="1"/>
        <v>58.805818047499997</v>
      </c>
      <c r="U16" s="14">
        <f t="shared" si="4"/>
        <v>311.6708168115</v>
      </c>
      <c r="W16" s="6" t="s">
        <v>32</v>
      </c>
      <c r="X16">
        <v>6221.9676154015006</v>
      </c>
    </row>
    <row r="17" spans="2:24">
      <c r="B17" s="1" t="s">
        <v>8</v>
      </c>
      <c r="C17" s="15">
        <f>304.76+14.8</f>
        <v>319.56</v>
      </c>
      <c r="D17" s="15">
        <v>74.59</v>
      </c>
      <c r="E17" s="15">
        <f>307.8+608.45+164.18-64.83</f>
        <v>1015.6</v>
      </c>
      <c r="F17" s="15">
        <v>365.04</v>
      </c>
      <c r="H17" s="2">
        <f>31+9</f>
        <v>40</v>
      </c>
      <c r="I17" s="2">
        <f>32+8</f>
        <v>40</v>
      </c>
      <c r="J17" s="2">
        <f>15+8</f>
        <v>23</v>
      </c>
      <c r="K17" s="7">
        <f t="shared" si="2"/>
        <v>103</v>
      </c>
      <c r="L17" s="5"/>
      <c r="M17" s="2">
        <f>IF(H17&lt;0.85*M$3,0.85*M$3,IF(H17&gt;1.05*M$3,H17+2*(H17-1.05*M$3),H17))</f>
        <v>42.5</v>
      </c>
      <c r="N17" s="2">
        <f>IF(I17&lt;0.85*N$3,0.85*N$3,IF(I17&gt;1.05*N$3,I17+2*(I17-1.05*N$3),I17))</f>
        <v>51</v>
      </c>
      <c r="O17" s="2">
        <f>IF(J17&lt;0.85*O$3,0.85*O$3,IF(J17&gt;1.05*O$3,J17+2*(J17-1.05*O$3),J17))</f>
        <v>42.5</v>
      </c>
      <c r="P17" s="2">
        <v>30</v>
      </c>
      <c r="R17" s="9">
        <f t="shared" si="3"/>
        <v>142.27213215</v>
      </c>
      <c r="S17" s="9">
        <f t="shared" si="1"/>
        <v>102.43593117</v>
      </c>
      <c r="T17" s="9">
        <f t="shared" si="1"/>
        <v>56.908856174999997</v>
      </c>
      <c r="U17" s="14">
        <f t="shared" si="4"/>
        <v>301.61691949499999</v>
      </c>
      <c r="W17" s="6" t="s">
        <v>33</v>
      </c>
      <c r="X17">
        <v>5872.7034744895</v>
      </c>
    </row>
    <row r="18" spans="2:24">
      <c r="B18" s="1" t="s">
        <v>9</v>
      </c>
      <c r="C18" s="15">
        <f>337.84+14.8</f>
        <v>352.64</v>
      </c>
      <c r="D18" s="15">
        <v>82.25</v>
      </c>
      <c r="E18" s="15">
        <f>332.95+726.07+167.91-73.62</f>
        <v>1153.31</v>
      </c>
      <c r="F18" s="15">
        <v>377.21</v>
      </c>
      <c r="H18" s="2">
        <f>30+8</f>
        <v>38</v>
      </c>
      <c r="I18" s="2">
        <f>36+10</f>
        <v>46</v>
      </c>
      <c r="J18" s="2">
        <f>20+12</f>
        <v>32</v>
      </c>
      <c r="K18" s="7">
        <f t="shared" si="2"/>
        <v>116</v>
      </c>
      <c r="L18" s="5"/>
      <c r="M18" s="2">
        <f>IF(H18&lt;0.85*M$3,0.85*M$3,IF(H18&gt;1.05*M$3,H18+2*(H18-1.05*M$3),H18))</f>
        <v>42.5</v>
      </c>
      <c r="N18" s="2">
        <f>IF(I18&lt;0.85*N$3,0.85*N$3,IF(I18&gt;1.05*N$3,I18+2*(I18-1.05*N$3),I18))</f>
        <v>51</v>
      </c>
      <c r="O18" s="2">
        <f>IF(J18&lt;0.85*O$3,0.85*O$3,IF(J18&gt;1.05*O$3,J18+2*(J18-1.05*O$3),J18))</f>
        <v>42.5</v>
      </c>
      <c r="P18" s="2">
        <v>31</v>
      </c>
      <c r="R18" s="9">
        <f t="shared" si="3"/>
        <v>147.01453655500001</v>
      </c>
      <c r="S18" s="9">
        <f t="shared" si="1"/>
        <v>105.85046220900001</v>
      </c>
      <c r="T18" s="9">
        <f t="shared" si="1"/>
        <v>58.805818047499997</v>
      </c>
      <c r="U18" s="14">
        <f t="shared" si="4"/>
        <v>311.6708168115</v>
      </c>
    </row>
    <row r="19" spans="2:24">
      <c r="B19" s="1" t="s">
        <v>10</v>
      </c>
      <c r="C19" s="15">
        <f>379.86+29.59</f>
        <v>409.45</v>
      </c>
      <c r="D19" s="15">
        <v>95.98</v>
      </c>
      <c r="E19" s="15">
        <f>264.13+997.71+177.87-86.38</f>
        <v>1353.33</v>
      </c>
      <c r="F19" s="15">
        <v>365.04</v>
      </c>
      <c r="H19" s="2">
        <f>43+10</f>
        <v>53</v>
      </c>
      <c r="I19" s="2">
        <f>74+10</f>
        <v>84</v>
      </c>
      <c r="J19" s="2">
        <f>29+8</f>
        <v>37</v>
      </c>
      <c r="K19" s="7">
        <f t="shared" si="2"/>
        <v>174</v>
      </c>
      <c r="L19" s="5"/>
      <c r="M19" s="2">
        <f>IF(H19&lt;0.85*M$3,0.85*M$3,IF(H19&gt;1.05*M$3,H19+2*(H19-1.05*M$3),H19))</f>
        <v>54</v>
      </c>
      <c r="N19" s="2">
        <f>IF(I19&lt;0.85*N$3,0.85*N$3,IF(I19&gt;1.05*N$3,I19+2*(I19-1.05*N$3),I19))</f>
        <v>126</v>
      </c>
      <c r="O19" s="2">
        <f>IF(J19&lt;0.85*O$3,0.85*O$3,IF(J19&gt;1.05*O$3,J19+2*(J19-1.05*O$3),J19))</f>
        <v>42.5</v>
      </c>
      <c r="P19" s="2">
        <v>31</v>
      </c>
      <c r="R19" s="9">
        <f t="shared" si="3"/>
        <v>186.794940564</v>
      </c>
      <c r="S19" s="9">
        <f t="shared" si="1"/>
        <v>261.51290663399999</v>
      </c>
      <c r="T19" s="9">
        <f t="shared" si="1"/>
        <v>58.805818047499997</v>
      </c>
      <c r="U19" s="14">
        <f t="shared" si="4"/>
        <v>507.11366524549999</v>
      </c>
    </row>
    <row r="20" spans="2:24">
      <c r="R20" s="10"/>
      <c r="S20" s="10"/>
      <c r="T20" s="10"/>
      <c r="U20" s="8"/>
    </row>
    <row r="21" spans="2:24">
      <c r="B21" s="11" t="s">
        <v>26</v>
      </c>
      <c r="C21" s="12">
        <f>SUM(C8:C19)</f>
        <v>4287.63</v>
      </c>
      <c r="D21" s="12">
        <f t="shared" ref="D21:E21" si="5">SUM(D8:D19)</f>
        <v>1107.5899999999999</v>
      </c>
      <c r="E21" s="12">
        <f t="shared" si="5"/>
        <v>16641.129999999997</v>
      </c>
      <c r="F21" s="12">
        <f>SUM(F8:F19)</f>
        <v>4361.6900000000005</v>
      </c>
      <c r="G21" s="13"/>
      <c r="H21" s="12">
        <f>SUM(H8:H19)</f>
        <v>608</v>
      </c>
      <c r="I21" s="12">
        <f t="shared" ref="I21:J21" si="6">SUM(I8:I19)</f>
        <v>729</v>
      </c>
      <c r="J21" s="12">
        <f t="shared" si="6"/>
        <v>543</v>
      </c>
      <c r="K21" s="12">
        <f>SUM(K8:K19)</f>
        <v>1880</v>
      </c>
      <c r="L21" s="13"/>
      <c r="P21" s="13"/>
      <c r="Q21" s="13"/>
      <c r="R21" s="12">
        <f>SUM(R8:R19)</f>
        <v>2704.1747847240003</v>
      </c>
      <c r="S21" s="12">
        <f>SUM(S8:S19)</f>
        <v>2077.2400003139996</v>
      </c>
      <c r="T21" s="12">
        <f>SUM(T8:T19)</f>
        <v>1091.2886894515</v>
      </c>
      <c r="U21" s="12">
        <f>SUM(U8:U19)</f>
        <v>5872.7034744895</v>
      </c>
    </row>
    <row r="22" spans="2:24">
      <c r="R22" s="10"/>
      <c r="S22" s="10"/>
      <c r="T22" s="10"/>
    </row>
    <row r="23" spans="2:24">
      <c r="H23" s="4" t="s">
        <v>22</v>
      </c>
      <c r="I23" s="4" t="s">
        <v>23</v>
      </c>
      <c r="J23" s="4" t="s">
        <v>24</v>
      </c>
      <c r="L23" s="16"/>
      <c r="M23" s="3"/>
      <c r="N23" s="3"/>
      <c r="O23" s="3"/>
      <c r="P23" s="16"/>
      <c r="Q23" s="16"/>
      <c r="R23" s="24"/>
      <c r="S23" s="24"/>
      <c r="T23" s="24"/>
      <c r="U23" s="16"/>
    </row>
    <row r="24" spans="2:24">
      <c r="H24" s="4">
        <v>0.111585986</v>
      </c>
      <c r="I24" s="4">
        <v>6.6951589000000006E-2</v>
      </c>
      <c r="J24" s="4">
        <v>4.4634396999999999E-2</v>
      </c>
      <c r="L24" s="16"/>
      <c r="M24" s="3"/>
      <c r="N24" s="3"/>
      <c r="O24" s="3"/>
      <c r="P24" s="16"/>
      <c r="Q24" s="16"/>
      <c r="R24" s="16"/>
      <c r="S24" s="16"/>
      <c r="T24" s="16"/>
      <c r="U24" s="16"/>
    </row>
    <row r="25" spans="2:24">
      <c r="K25" s="3"/>
      <c r="L25" s="3"/>
      <c r="M25" s="16"/>
      <c r="N25" s="16"/>
      <c r="O25" s="16"/>
      <c r="P25" s="3"/>
      <c r="Q25" s="16"/>
      <c r="R25" s="16"/>
      <c r="S25" s="16"/>
      <c r="T25" s="16"/>
      <c r="U25" s="16"/>
    </row>
    <row r="26" spans="2:24">
      <c r="K26" s="3"/>
      <c r="L26" s="3"/>
      <c r="M26" s="16"/>
      <c r="N26" s="16"/>
      <c r="O26" s="16"/>
      <c r="P26" s="3"/>
      <c r="Q26" s="16"/>
      <c r="R26" s="16"/>
      <c r="S26" s="16"/>
      <c r="T26" s="16"/>
      <c r="U26" s="16"/>
    </row>
  </sheetData>
  <mergeCells count="5">
    <mergeCell ref="M1:O1"/>
    <mergeCell ref="R23:T23"/>
    <mergeCell ref="M6:O6"/>
    <mergeCell ref="H6:K6"/>
    <mergeCell ref="R6:U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B1:Y26"/>
  <sheetViews>
    <sheetView tabSelected="1" topLeftCell="J1" workbookViewId="0">
      <selection activeCell="Y13" sqref="Y13"/>
    </sheetView>
  </sheetViews>
  <sheetFormatPr baseColWidth="10" defaultRowHeight="15"/>
  <cols>
    <col min="1" max="1" width="3" customWidth="1"/>
    <col min="5" max="5" width="15.42578125" bestFit="1" customWidth="1"/>
    <col min="6" max="6" width="16.7109375" bestFit="1" customWidth="1"/>
    <col min="7" max="7" width="4.140625" customWidth="1"/>
    <col min="8" max="8" width="13.140625" customWidth="1"/>
    <col min="9" max="9" width="13.5703125" customWidth="1"/>
    <col min="10" max="11" width="13.28515625" customWidth="1"/>
    <col min="12" max="12" width="5.5703125" customWidth="1"/>
    <col min="13" max="15" width="13.28515625" customWidth="1"/>
    <col min="16" max="16" width="10.5703125" customWidth="1"/>
    <col min="17" max="17" width="3.42578125" customWidth="1"/>
    <col min="22" max="22" width="3.42578125" customWidth="1"/>
    <col min="23" max="23" width="14.5703125" customWidth="1"/>
  </cols>
  <sheetData>
    <row r="1" spans="2:25">
      <c r="H1" s="18" t="s">
        <v>39</v>
      </c>
      <c r="I1" s="18"/>
      <c r="J1" s="18"/>
      <c r="M1" s="18" t="s">
        <v>27</v>
      </c>
      <c r="N1" s="18"/>
      <c r="O1" s="18"/>
    </row>
    <row r="2" spans="2:25">
      <c r="H2" s="4" t="s">
        <v>40</v>
      </c>
      <c r="I2" s="4" t="s">
        <v>41</v>
      </c>
      <c r="J2" s="4" t="s">
        <v>42</v>
      </c>
      <c r="M2" s="4" t="s">
        <v>19</v>
      </c>
      <c r="N2" s="4" t="s">
        <v>20</v>
      </c>
      <c r="O2" s="4" t="s">
        <v>21</v>
      </c>
    </row>
    <row r="3" spans="2:25">
      <c r="H3" s="2">
        <v>4</v>
      </c>
      <c r="I3" s="2">
        <v>12</v>
      </c>
      <c r="J3" s="2">
        <v>8</v>
      </c>
      <c r="M3" s="2">
        <v>45</v>
      </c>
      <c r="N3" s="2">
        <v>70</v>
      </c>
      <c r="O3" s="2">
        <v>35</v>
      </c>
    </row>
    <row r="4" spans="2:25">
      <c r="L4" s="23">
        <v>0.85</v>
      </c>
      <c r="M4" s="2">
        <f>M3*0.85</f>
        <v>38.25</v>
      </c>
      <c r="N4" s="2">
        <f t="shared" ref="N4:O4" si="0">N3*0.85</f>
        <v>59.5</v>
      </c>
      <c r="O4" s="2">
        <f t="shared" si="0"/>
        <v>29.75</v>
      </c>
    </row>
    <row r="6" spans="2:25">
      <c r="H6" s="17" t="s">
        <v>28</v>
      </c>
      <c r="I6" s="17"/>
      <c r="J6" s="17"/>
      <c r="K6" s="17"/>
      <c r="M6" s="19" t="s">
        <v>27</v>
      </c>
      <c r="N6" s="20"/>
      <c r="O6" s="21"/>
      <c r="P6" s="5"/>
      <c r="R6" s="18" t="s">
        <v>29</v>
      </c>
      <c r="S6" s="18"/>
      <c r="T6" s="18"/>
      <c r="U6" s="18"/>
      <c r="W6" s="22" t="s">
        <v>34</v>
      </c>
      <c r="X6" s="22" t="s">
        <v>30</v>
      </c>
    </row>
    <row r="7" spans="2:25">
      <c r="B7" s="1"/>
      <c r="C7" s="1" t="s">
        <v>12</v>
      </c>
      <c r="D7" s="1" t="s">
        <v>13</v>
      </c>
      <c r="E7" s="1" t="s">
        <v>14</v>
      </c>
      <c r="F7" s="1" t="s">
        <v>15</v>
      </c>
      <c r="H7" s="2" t="s">
        <v>16</v>
      </c>
      <c r="I7" s="2" t="s">
        <v>17</v>
      </c>
      <c r="J7" s="2" t="s">
        <v>18</v>
      </c>
      <c r="K7" s="7" t="s">
        <v>25</v>
      </c>
      <c r="L7" s="5"/>
      <c r="M7" s="4" t="s">
        <v>19</v>
      </c>
      <c r="N7" s="4" t="s">
        <v>20</v>
      </c>
      <c r="O7" s="4" t="s">
        <v>21</v>
      </c>
      <c r="P7" s="3" t="s">
        <v>31</v>
      </c>
      <c r="R7" s="4" t="s">
        <v>19</v>
      </c>
      <c r="S7" s="4" t="s">
        <v>20</v>
      </c>
      <c r="T7" s="4" t="s">
        <v>21</v>
      </c>
      <c r="U7" s="14" t="s">
        <v>25</v>
      </c>
      <c r="W7" s="6">
        <v>135</v>
      </c>
      <c r="X7" s="12">
        <v>9676.9710364905986</v>
      </c>
    </row>
    <row r="8" spans="2:25">
      <c r="B8" s="1" t="s">
        <v>11</v>
      </c>
      <c r="C8" s="15">
        <v>409.88</v>
      </c>
      <c r="D8" s="15">
        <v>110.76</v>
      </c>
      <c r="E8" s="15">
        <f>390.28+1260.89+292.8-116.64</f>
        <v>1827.33</v>
      </c>
      <c r="F8" s="15">
        <v>339.03</v>
      </c>
      <c r="H8" s="2">
        <f>67</f>
        <v>67</v>
      </c>
      <c r="I8" s="2">
        <f>70</f>
        <v>70</v>
      </c>
      <c r="J8" s="2">
        <f>36</f>
        <v>36</v>
      </c>
      <c r="K8" s="7">
        <f>SUM(H8:J8)</f>
        <v>173</v>
      </c>
      <c r="L8" s="5"/>
      <c r="M8" s="2">
        <f>IF(H8&lt;0.85*M$3,0.85*M$3,IF(H8&gt;1.05*M$3,H8+2*(H8-1.05*M$3),H8))</f>
        <v>106.5</v>
      </c>
      <c r="N8" s="2">
        <f>IF(I8&lt;0.85*N$3,0.85*N$3,IF(I8&gt;1.05*N$3,I8+2*(I8-1.05*N$3),I8))</f>
        <v>70</v>
      </c>
      <c r="O8" s="2">
        <f>IF(J8&lt;0.85*O$3,0.85*O$3,IF(J8&gt;1.05*O$3,J8+2*(J8-1.05*O$3),J8))</f>
        <v>36</v>
      </c>
      <c r="P8" s="2">
        <v>31</v>
      </c>
      <c r="R8" s="9">
        <f>H$24*M8*$P8</f>
        <v>368.40113277900002</v>
      </c>
      <c r="S8" s="9">
        <f t="shared" ref="S8:T19" si="1">I$24*N8*$P8</f>
        <v>145.28494813</v>
      </c>
      <c r="T8" s="9">
        <f t="shared" si="1"/>
        <v>49.811987051999999</v>
      </c>
      <c r="U8" s="14">
        <f>SUM(R8:T8)</f>
        <v>563.49806796099995</v>
      </c>
      <c r="W8" s="6">
        <v>100</v>
      </c>
      <c r="X8" s="6">
        <v>6961.8496665399998</v>
      </c>
    </row>
    <row r="9" spans="2:25">
      <c r="B9" s="1" t="s">
        <v>0</v>
      </c>
      <c r="C9" s="15">
        <v>525.72</v>
      </c>
      <c r="D9" s="15">
        <v>142.06</v>
      </c>
      <c r="E9" s="15">
        <f>417.88+1781.46+374.8-154.45</f>
        <v>2419.6900000000005</v>
      </c>
      <c r="F9" s="15">
        <v>358.94</v>
      </c>
      <c r="H9" s="2">
        <f>62</f>
        <v>62</v>
      </c>
      <c r="I9" s="2">
        <f>77</f>
        <v>77</v>
      </c>
      <c r="J9" s="2">
        <f>68</f>
        <v>68</v>
      </c>
      <c r="K9" s="7">
        <f t="shared" ref="K9:K19" si="2">SUM(H9:J9)</f>
        <v>207</v>
      </c>
      <c r="L9" s="5"/>
      <c r="M9" s="2">
        <f>IF(H9&lt;0.85*M$3,0.85*M$3,IF(H9&gt;1.05*M$3,H9+2*(H9-1.05*M$3),H9))</f>
        <v>91.5</v>
      </c>
      <c r="N9" s="2">
        <f>IF(I9&lt;0.85*N$3,0.85*N$3,IF(I9&gt;1.05*N$3,I9+2*(I9-1.05*N$3),I9))</f>
        <v>84</v>
      </c>
      <c r="O9" s="2">
        <f>IF(J9&lt;0.85*O$3,0.85*O$3,IF(J9&gt;1.05*O$3,J9+2*(J9-1.05*O$3),J9))</f>
        <v>130.5</v>
      </c>
      <c r="P9" s="2">
        <v>31</v>
      </c>
      <c r="R9" s="9">
        <f t="shared" ref="R9:R19" si="3">H$24*M9*$P9</f>
        <v>316.513649289</v>
      </c>
      <c r="S9" s="9">
        <f t="shared" si="1"/>
        <v>174.34193775600002</v>
      </c>
      <c r="T9" s="9">
        <f t="shared" si="1"/>
        <v>180.56845306350002</v>
      </c>
      <c r="U9" s="14">
        <f t="shared" ref="U9:U19" si="4">SUM(R9:T9)</f>
        <v>671.42404010849998</v>
      </c>
      <c r="W9" s="6">
        <v>50</v>
      </c>
      <c r="X9" s="12">
        <v>4629.9145590935004</v>
      </c>
    </row>
    <row r="10" spans="2:25">
      <c r="B10" s="1" t="s">
        <v>1</v>
      </c>
      <c r="C10" s="15">
        <v>489.62</v>
      </c>
      <c r="D10" s="15">
        <v>132.31</v>
      </c>
      <c r="E10" s="15">
        <f>398.49+1634.13+366.23-143.75</f>
        <v>2255.1000000000004</v>
      </c>
      <c r="F10" s="15">
        <v>335.78</v>
      </c>
      <c r="H10" s="2">
        <f>48</f>
        <v>48</v>
      </c>
      <c r="I10" s="2">
        <f>77</f>
        <v>77</v>
      </c>
      <c r="J10" s="2">
        <f>77</f>
        <v>77</v>
      </c>
      <c r="K10" s="7">
        <f t="shared" si="2"/>
        <v>202</v>
      </c>
      <c r="L10" s="5"/>
      <c r="M10" s="2">
        <f>IF(H10&lt;0.85*M$3,0.85*M$3,IF(H10&gt;1.05*M$3,H10+2*(H10-1.05*M$3),H10))</f>
        <v>49.5</v>
      </c>
      <c r="N10" s="2">
        <f>IF(I10&lt;0.85*N$3,0.85*N$3,IF(I10&gt;1.05*N$3,I10+2*(I10-1.05*N$3),I10))</f>
        <v>84</v>
      </c>
      <c r="O10" s="2">
        <f>IF(J10&lt;0.85*O$3,0.85*O$3,IF(J10&gt;1.05*O$3,J10+2*(J10-1.05*O$3),J10))</f>
        <v>157.5</v>
      </c>
      <c r="P10" s="2">
        <v>29</v>
      </c>
      <c r="R10" s="9">
        <f t="shared" si="3"/>
        <v>160.181682903</v>
      </c>
      <c r="S10" s="9">
        <f>I$24*N10*$P10</f>
        <v>163.09407080400001</v>
      </c>
      <c r="T10" s="9">
        <f t="shared" si="1"/>
        <v>203.8676082975</v>
      </c>
      <c r="U10" s="14">
        <f t="shared" si="4"/>
        <v>527.14336200449998</v>
      </c>
      <c r="W10" s="6">
        <v>25</v>
      </c>
      <c r="X10" s="6">
        <v>5679.0013442619993</v>
      </c>
    </row>
    <row r="11" spans="2:25">
      <c r="B11" s="1" t="s">
        <v>2</v>
      </c>
      <c r="C11" s="15">
        <v>351.78</v>
      </c>
      <c r="D11" s="15">
        <v>95.06</v>
      </c>
      <c r="E11" s="15">
        <f>343.5+976.58+276.04-95.77</f>
        <v>1500.35</v>
      </c>
      <c r="F11" s="15">
        <v>358.94</v>
      </c>
      <c r="H11" s="2">
        <f>36</f>
        <v>36</v>
      </c>
      <c r="I11" s="2">
        <f>45</f>
        <v>45</v>
      </c>
      <c r="J11" s="2">
        <f>38</f>
        <v>38</v>
      </c>
      <c r="K11" s="7">
        <f t="shared" si="2"/>
        <v>119</v>
      </c>
      <c r="L11" s="5"/>
      <c r="M11" s="2">
        <f>IF(H11&lt;0.85*M$3,0.85*M$3,IF(H11&gt;1.05*M$3,H11+2*(H11-1.05*M$3),H11))</f>
        <v>38.25</v>
      </c>
      <c r="N11" s="2">
        <f>IF(I11&lt;0.85*N$3,0.85*N$3,IF(I11&gt;1.05*N$3,I11+2*(I11-1.05*N$3),I11))</f>
        <v>59.5</v>
      </c>
      <c r="O11" s="2">
        <f>IF(J11&lt;0.85*O$3,0.85*O$3,IF(J11&gt;1.05*O$3,J11+2*(J11-1.05*O$3),J11))</f>
        <v>40.5</v>
      </c>
      <c r="P11" s="2">
        <v>31</v>
      </c>
      <c r="R11" s="9">
        <f t="shared" si="3"/>
        <v>132.31308289950002</v>
      </c>
      <c r="S11" s="9">
        <f t="shared" si="1"/>
        <v>123.4922059105</v>
      </c>
      <c r="T11" s="9">
        <f t="shared" si="1"/>
        <v>56.0384854335</v>
      </c>
      <c r="U11" s="14">
        <f t="shared" si="4"/>
        <v>311.84377424350004</v>
      </c>
      <c r="W11" s="28">
        <v>45</v>
      </c>
      <c r="X11" s="28">
        <v>4585.977574385749</v>
      </c>
      <c r="Y11" s="29"/>
    </row>
    <row r="12" spans="2:25">
      <c r="B12" s="1" t="s">
        <v>3</v>
      </c>
      <c r="C12" s="15">
        <v>289.94</v>
      </c>
      <c r="D12" s="15">
        <v>78.349999999999994</v>
      </c>
      <c r="E12" s="15">
        <f>355.08+683.49+203.34-74.51</f>
        <v>1167.3999999999999</v>
      </c>
      <c r="F12" s="15">
        <v>365.04</v>
      </c>
      <c r="H12" s="2">
        <f>37</f>
        <v>37</v>
      </c>
      <c r="I12" s="2">
        <f>37</f>
        <v>37</v>
      </c>
      <c r="J12" s="2">
        <f>28</f>
        <v>28</v>
      </c>
      <c r="K12" s="7">
        <f t="shared" si="2"/>
        <v>102</v>
      </c>
      <c r="L12" s="5"/>
      <c r="M12" s="2">
        <f>IF(H12&lt;0.85*M$3,0.85*M$3,IF(H12&gt;1.05*M$3,H12+2*(H12-1.05*M$3),H12))</f>
        <v>38.25</v>
      </c>
      <c r="N12" s="2">
        <f>IF(I12&lt;0.85*N$3,0.85*N$3,IF(I12&gt;1.05*N$3,I12+2*(I12-1.05*N$3),I12))</f>
        <v>59.5</v>
      </c>
      <c r="O12" s="2">
        <f>IF(J12&lt;0.85*O$3,0.85*O$3,IF(J12&gt;1.05*O$3,J12+2*(J12-1.05*O$3),J12))</f>
        <v>29.75</v>
      </c>
      <c r="P12" s="2">
        <v>30</v>
      </c>
      <c r="R12" s="9">
        <f t="shared" si="3"/>
        <v>128.044918935</v>
      </c>
      <c r="S12" s="9">
        <f t="shared" si="1"/>
        <v>119.50858636500001</v>
      </c>
      <c r="T12" s="9">
        <f t="shared" si="1"/>
        <v>39.836199322500001</v>
      </c>
      <c r="U12" s="14">
        <f t="shared" si="4"/>
        <v>287.38970462250001</v>
      </c>
      <c r="W12" s="6">
        <v>55</v>
      </c>
      <c r="X12" s="6">
        <v>4695.3095287679998</v>
      </c>
    </row>
    <row r="13" spans="2:25">
      <c r="B13" s="1" t="s">
        <v>4</v>
      </c>
      <c r="C13" s="15">
        <v>279.69</v>
      </c>
      <c r="D13" s="15">
        <v>75.58</v>
      </c>
      <c r="E13" s="15">
        <f>329.58+654.86+186.89-70.28</f>
        <v>1101.05</v>
      </c>
      <c r="F13" s="15">
        <v>377.21</v>
      </c>
      <c r="H13" s="2">
        <f>30</f>
        <v>30</v>
      </c>
      <c r="I13" s="2">
        <f>29</f>
        <v>29</v>
      </c>
      <c r="J13" s="2">
        <f>21</f>
        <v>21</v>
      </c>
      <c r="K13" s="7">
        <f t="shared" si="2"/>
        <v>80</v>
      </c>
      <c r="L13" s="5"/>
      <c r="M13" s="2">
        <f>IF(H13&lt;0.85*M$3,0.85*M$3,IF(H13&gt;1.05*M$3,H13+2*(H13-1.05*M$3),H13))</f>
        <v>38.25</v>
      </c>
      <c r="N13" s="2">
        <f>IF(I13&lt;0.85*N$3,0.85*N$3,IF(I13&gt;1.05*N$3,I13+2*(I13-1.05*N$3),I13))</f>
        <v>59.5</v>
      </c>
      <c r="O13" s="2">
        <f>IF(J13&lt;0.85*O$3,0.85*O$3,IF(J13&gt;1.05*O$3,J13+2*(J13-1.05*O$3),J13))</f>
        <v>29.75</v>
      </c>
      <c r="P13" s="2">
        <v>31</v>
      </c>
      <c r="R13" s="9">
        <f t="shared" si="3"/>
        <v>132.31308289950002</v>
      </c>
      <c r="S13" s="9">
        <f t="shared" si="1"/>
        <v>123.4922059105</v>
      </c>
      <c r="T13" s="9">
        <f t="shared" si="1"/>
        <v>41.164072633250001</v>
      </c>
      <c r="U13" s="14">
        <f t="shared" si="4"/>
        <v>296.96936144325002</v>
      </c>
      <c r="W13" s="6">
        <v>60</v>
      </c>
      <c r="X13">
        <v>4784.2491412870004</v>
      </c>
    </row>
    <row r="14" spans="2:25">
      <c r="B14" s="1" t="s">
        <v>5</v>
      </c>
      <c r="C14" s="15">
        <v>277.13</v>
      </c>
      <c r="D14" s="15">
        <v>74.89</v>
      </c>
      <c r="E14" s="15">
        <f>348.04+367.79+184.02-70.19</f>
        <v>829.66000000000008</v>
      </c>
      <c r="F14" s="15">
        <v>365.04</v>
      </c>
      <c r="H14" s="2">
        <f>31</f>
        <v>31</v>
      </c>
      <c r="I14" s="2">
        <f>35</f>
        <v>35</v>
      </c>
      <c r="J14" s="2">
        <f>22</f>
        <v>22</v>
      </c>
      <c r="K14" s="7">
        <f t="shared" si="2"/>
        <v>88</v>
      </c>
      <c r="L14" s="5"/>
      <c r="M14" s="2">
        <f>IF(H14&lt;0.85*M$3,0.85*M$3,IF(H14&gt;1.05*M$3,H14+2*(H14-1.05*M$3),H14))</f>
        <v>38.25</v>
      </c>
      <c r="N14" s="2">
        <f>IF(I14&lt;0.85*N$3,0.85*N$3,IF(I14&gt;1.05*N$3,I14+2*(I14-1.05*N$3),I14))</f>
        <v>59.5</v>
      </c>
      <c r="O14" s="2">
        <f>IF(J14&lt;0.85*O$3,0.85*O$3,IF(J14&gt;1.05*O$3,J14+2*(J14-1.05*O$3),J14))</f>
        <v>29.75</v>
      </c>
      <c r="P14" s="2">
        <v>30</v>
      </c>
      <c r="R14" s="9">
        <f t="shared" si="3"/>
        <v>128.044918935</v>
      </c>
      <c r="S14" s="9">
        <f t="shared" si="1"/>
        <v>119.50858636500001</v>
      </c>
      <c r="T14" s="9">
        <f t="shared" si="1"/>
        <v>39.836199322500001</v>
      </c>
      <c r="U14" s="14">
        <f t="shared" si="4"/>
        <v>287.38970462250001</v>
      </c>
      <c r="W14" s="6" t="s">
        <v>32</v>
      </c>
      <c r="X14">
        <v>4538.7041702442511</v>
      </c>
    </row>
    <row r="15" spans="2:25">
      <c r="B15" s="1" t="s">
        <v>6</v>
      </c>
      <c r="C15" s="15">
        <v>267.74</v>
      </c>
      <c r="D15" s="15">
        <v>72.349999999999994</v>
      </c>
      <c r="E15" s="15">
        <f>310.49+610.25+183.41-66.25</f>
        <v>1037.9000000000001</v>
      </c>
      <c r="F15" s="15">
        <v>377.21</v>
      </c>
      <c r="H15" s="2">
        <f>25</f>
        <v>25</v>
      </c>
      <c r="I15" s="2">
        <f>26</f>
        <v>26</v>
      </c>
      <c r="J15" s="2">
        <f>21</f>
        <v>21</v>
      </c>
      <c r="K15" s="7">
        <f t="shared" si="2"/>
        <v>72</v>
      </c>
      <c r="L15" s="5"/>
      <c r="M15" s="2">
        <f>IF(H15&lt;0.85*M$3,0.85*M$3,IF(H15&gt;1.05*M$3,H15+2*(H15-1.05*M$3),H15))</f>
        <v>38.25</v>
      </c>
      <c r="N15" s="2">
        <f>IF(I15&lt;0.85*N$3,0.85*N$3,IF(I15&gt;1.05*N$3,I15+2*(I15-1.05*N$3),I15))</f>
        <v>59.5</v>
      </c>
      <c r="O15" s="2">
        <f>IF(J15&lt;0.85*O$3,0.85*O$3,IF(J15&gt;1.05*O$3,J15+2*(J15-1.05*O$3),J15))</f>
        <v>29.75</v>
      </c>
      <c r="P15" s="2">
        <v>31</v>
      </c>
      <c r="R15" s="9">
        <f t="shared" si="3"/>
        <v>132.31308289950002</v>
      </c>
      <c r="S15" s="9">
        <f t="shared" si="1"/>
        <v>123.4922059105</v>
      </c>
      <c r="T15" s="9">
        <f t="shared" si="1"/>
        <v>41.164072633250001</v>
      </c>
      <c r="U15" s="14">
        <f t="shared" si="4"/>
        <v>296.96936144325002</v>
      </c>
      <c r="W15" s="6" t="s">
        <v>33</v>
      </c>
      <c r="X15">
        <v>4592.6225240204994</v>
      </c>
    </row>
    <row r="16" spans="2:25">
      <c r="B16" s="1" t="s">
        <v>7</v>
      </c>
      <c r="C16" s="15">
        <f>299.68+14.8</f>
        <v>314.48</v>
      </c>
      <c r="D16" s="15">
        <v>73.41</v>
      </c>
      <c r="E16" s="15">
        <f>285.16+581.61+176.22-62.58</f>
        <v>980.41</v>
      </c>
      <c r="F16" s="15">
        <v>377.21</v>
      </c>
      <c r="H16" s="2">
        <f>25</f>
        <v>25</v>
      </c>
      <c r="I16" s="2">
        <f>28</f>
        <v>28</v>
      </c>
      <c r="J16" s="2">
        <f>13</f>
        <v>13</v>
      </c>
      <c r="K16" s="7">
        <f t="shared" si="2"/>
        <v>66</v>
      </c>
      <c r="L16" s="5"/>
      <c r="M16" s="2">
        <f>IF(H16&lt;0.85*M$3,0.85*M$3,IF(H16&gt;1.05*M$3,H16+2*(H16-1.05*M$3),H16))</f>
        <v>38.25</v>
      </c>
      <c r="N16" s="2">
        <f>IF(I16&lt;0.85*N$3,0.85*N$3,IF(I16&gt;1.05*N$3,I16+2*(I16-1.05*N$3),I16))</f>
        <v>59.5</v>
      </c>
      <c r="O16" s="2">
        <f>IF(J16&lt;0.85*O$3,0.85*O$3,IF(J16&gt;1.05*O$3,J16+2*(J16-1.05*O$3),J16))</f>
        <v>29.75</v>
      </c>
      <c r="P16" s="2">
        <v>31</v>
      </c>
      <c r="R16" s="9">
        <f t="shared" si="3"/>
        <v>132.31308289950002</v>
      </c>
      <c r="S16" s="9">
        <f t="shared" si="1"/>
        <v>123.4922059105</v>
      </c>
      <c r="T16" s="9">
        <f t="shared" si="1"/>
        <v>41.164072633250001</v>
      </c>
      <c r="U16" s="14">
        <f t="shared" si="4"/>
        <v>296.96936144325002</v>
      </c>
      <c r="W16" s="25" t="s">
        <v>35</v>
      </c>
      <c r="X16" s="26">
        <v>4469.5264403542506</v>
      </c>
      <c r="Y16" s="27">
        <f>X7-X16</f>
        <v>5207.4445961363481</v>
      </c>
    </row>
    <row r="17" spans="2:25">
      <c r="B17" s="1" t="s">
        <v>8</v>
      </c>
      <c r="C17" s="15">
        <f>304.76+14.8</f>
        <v>319.56</v>
      </c>
      <c r="D17" s="15">
        <v>74.59</v>
      </c>
      <c r="E17" s="15">
        <f>307.8+608.45+164.18-64.83</f>
        <v>1015.6</v>
      </c>
      <c r="F17" s="15">
        <v>365.04</v>
      </c>
      <c r="H17" s="2">
        <f>31</f>
        <v>31</v>
      </c>
      <c r="I17" s="2">
        <f>32</f>
        <v>32</v>
      </c>
      <c r="J17" s="2">
        <f>15</f>
        <v>15</v>
      </c>
      <c r="K17" s="7">
        <f t="shared" si="2"/>
        <v>78</v>
      </c>
      <c r="L17" s="5"/>
      <c r="M17" s="2">
        <f>IF(H17&lt;0.85*M$3,0.85*M$3,IF(H17&gt;1.05*M$3,H17+2*(H17-1.05*M$3),H17))</f>
        <v>38.25</v>
      </c>
      <c r="N17" s="2">
        <f>IF(I17&lt;0.85*N$3,0.85*N$3,IF(I17&gt;1.05*N$3,I17+2*(I17-1.05*N$3),I17))</f>
        <v>59.5</v>
      </c>
      <c r="O17" s="2">
        <f>IF(J17&lt;0.85*O$3,0.85*O$3,IF(J17&gt;1.05*O$3,J17+2*(J17-1.05*O$3),J17))</f>
        <v>29.75</v>
      </c>
      <c r="P17" s="2">
        <v>30</v>
      </c>
      <c r="R17" s="9">
        <f t="shared" si="3"/>
        <v>128.044918935</v>
      </c>
      <c r="S17" s="9">
        <f t="shared" si="1"/>
        <v>119.50858636500001</v>
      </c>
      <c r="T17" s="9">
        <f t="shared" si="1"/>
        <v>39.836199322500001</v>
      </c>
      <c r="U17" s="14">
        <f t="shared" si="4"/>
        <v>287.38970462250001</v>
      </c>
      <c r="W17" s="6" t="s">
        <v>36</v>
      </c>
      <c r="X17">
        <v>4563.5766855577513</v>
      </c>
    </row>
    <row r="18" spans="2:25">
      <c r="B18" s="1" t="s">
        <v>9</v>
      </c>
      <c r="C18" s="15">
        <f>337.84+14.8</f>
        <v>352.64</v>
      </c>
      <c r="D18" s="15">
        <v>82.25</v>
      </c>
      <c r="E18" s="15">
        <f>332.95+726.07+167.91-73.62</f>
        <v>1153.31</v>
      </c>
      <c r="F18" s="15">
        <v>377.21</v>
      </c>
      <c r="H18" s="2">
        <f>30</f>
        <v>30</v>
      </c>
      <c r="I18" s="2">
        <f>36</f>
        <v>36</v>
      </c>
      <c r="J18" s="2">
        <f>20</f>
        <v>20</v>
      </c>
      <c r="K18" s="7">
        <f t="shared" si="2"/>
        <v>86</v>
      </c>
      <c r="L18" s="5"/>
      <c r="M18" s="2">
        <f>IF(H18&lt;0.85*M$3,0.85*M$3,IF(H18&gt;1.05*M$3,H18+2*(H18-1.05*M$3),H18))</f>
        <v>38.25</v>
      </c>
      <c r="N18" s="2">
        <f>IF(I18&lt;0.85*N$3,0.85*N$3,IF(I18&gt;1.05*N$3,I18+2*(I18-1.05*N$3),I18))</f>
        <v>59.5</v>
      </c>
      <c r="O18" s="2">
        <f>IF(J18&lt;0.85*O$3,0.85*O$3,IF(J18&gt;1.05*O$3,J18+2*(J18-1.05*O$3),J18))</f>
        <v>29.75</v>
      </c>
      <c r="P18" s="2">
        <v>31</v>
      </c>
      <c r="R18" s="9">
        <f t="shared" si="3"/>
        <v>132.31308289950002</v>
      </c>
      <c r="S18" s="9">
        <f t="shared" si="1"/>
        <v>123.4922059105</v>
      </c>
      <c r="T18" s="9">
        <f t="shared" si="1"/>
        <v>41.164072633250001</v>
      </c>
      <c r="U18" s="14">
        <f t="shared" si="4"/>
        <v>296.96936144325002</v>
      </c>
      <c r="W18" s="6" t="s">
        <v>37</v>
      </c>
      <c r="X18">
        <v>4538.7041702442511</v>
      </c>
      <c r="Y18" s="8">
        <f>X7-X18</f>
        <v>5138.2668662463475</v>
      </c>
    </row>
    <row r="19" spans="2:25">
      <c r="B19" s="1" t="s">
        <v>10</v>
      </c>
      <c r="C19" s="15">
        <f>379.86+29.59</f>
        <v>409.45</v>
      </c>
      <c r="D19" s="15">
        <v>95.98</v>
      </c>
      <c r="E19" s="15">
        <f>264.13+997.71+177.87-86.38</f>
        <v>1353.33</v>
      </c>
      <c r="F19" s="15">
        <v>365.04</v>
      </c>
      <c r="H19" s="2">
        <f>43</f>
        <v>43</v>
      </c>
      <c r="I19" s="2">
        <f>74</f>
        <v>74</v>
      </c>
      <c r="J19" s="2">
        <f>29</f>
        <v>29</v>
      </c>
      <c r="K19" s="7">
        <f t="shared" si="2"/>
        <v>146</v>
      </c>
      <c r="L19" s="5"/>
      <c r="M19" s="2">
        <f>IF(H19&lt;0.85*M$3,0.85*M$3,IF(H19&gt;1.05*M$3,H19+2*(H19-1.05*M$3),H19))</f>
        <v>43</v>
      </c>
      <c r="N19" s="2">
        <f>IF(I19&lt;0.85*N$3,0.85*N$3,IF(I19&gt;1.05*N$3,I19+2*(I19-1.05*N$3),I19))</f>
        <v>75</v>
      </c>
      <c r="O19" s="2">
        <f>IF(J19&lt;0.85*O$3,0.85*O$3,IF(J19&gt;1.05*O$3,J19+2*(J19-1.05*O$3),J19))</f>
        <v>29.75</v>
      </c>
      <c r="P19" s="2">
        <v>31</v>
      </c>
      <c r="R19" s="9">
        <f t="shared" si="3"/>
        <v>148.74411933799999</v>
      </c>
      <c r="S19" s="9">
        <f t="shared" si="1"/>
        <v>155.66244442500002</v>
      </c>
      <c r="T19" s="9">
        <f t="shared" si="1"/>
        <v>41.164072633250001</v>
      </c>
      <c r="U19" s="14">
        <f t="shared" si="4"/>
        <v>345.57063639624999</v>
      </c>
      <c r="W19" s="6" t="s">
        <v>38</v>
      </c>
      <c r="X19">
        <v>4553.8887900600494</v>
      </c>
    </row>
    <row r="20" spans="2:25">
      <c r="R20" s="10"/>
      <c r="S20" s="10"/>
      <c r="T20" s="10"/>
      <c r="U20" s="8"/>
      <c r="W20" s="6">
        <v>44</v>
      </c>
      <c r="X20">
        <v>4583.8451656975985</v>
      </c>
      <c r="Y20" s="8">
        <f>X7-X20</f>
        <v>5093.1258707930001</v>
      </c>
    </row>
    <row r="21" spans="2:25">
      <c r="B21" s="11" t="s">
        <v>26</v>
      </c>
      <c r="C21" s="12">
        <f>SUM(C8:C19)</f>
        <v>4287.63</v>
      </c>
      <c r="D21" s="12">
        <f t="shared" ref="D21:E21" si="5">SUM(D8:D19)</f>
        <v>1107.5899999999999</v>
      </c>
      <c r="E21" s="12">
        <f t="shared" si="5"/>
        <v>16641.129999999997</v>
      </c>
      <c r="F21" s="12">
        <f>SUM(F8:F19)</f>
        <v>4361.6900000000005</v>
      </c>
      <c r="G21" s="13"/>
      <c r="H21" s="12">
        <f>SUM(H8:H19)</f>
        <v>465</v>
      </c>
      <c r="I21" s="12">
        <f t="shared" ref="I21:J21" si="6">SUM(I8:I19)</f>
        <v>566</v>
      </c>
      <c r="J21" s="12">
        <f t="shared" si="6"/>
        <v>388</v>
      </c>
      <c r="K21" s="12">
        <f>SUM(K8:K19)</f>
        <v>1419</v>
      </c>
      <c r="L21" s="13"/>
      <c r="P21" s="13"/>
      <c r="Q21" s="13"/>
      <c r="R21" s="12">
        <f>SUM(R8:R19)</f>
        <v>2039.5407556114997</v>
      </c>
      <c r="S21" s="12">
        <f>SUM(S8:S19)</f>
        <v>1614.3701897625001</v>
      </c>
      <c r="T21" s="12">
        <f>SUM(T8:T19)</f>
        <v>815.61549498025011</v>
      </c>
      <c r="U21" s="12">
        <f>SUM(U8:U19)</f>
        <v>4469.5264403542506</v>
      </c>
      <c r="W21" s="28" t="s">
        <v>43</v>
      </c>
      <c r="X21" s="29">
        <v>4507.2525448057986</v>
      </c>
      <c r="Y21" s="30">
        <f>X7-X21</f>
        <v>5169.7184916848</v>
      </c>
    </row>
    <row r="22" spans="2:25">
      <c r="R22" s="10"/>
      <c r="S22" s="10"/>
      <c r="T22" s="10"/>
    </row>
    <row r="23" spans="2:25">
      <c r="H23" s="4" t="s">
        <v>22</v>
      </c>
      <c r="I23" s="4" t="s">
        <v>23</v>
      </c>
      <c r="J23" s="4" t="s">
        <v>24</v>
      </c>
      <c r="L23" s="16"/>
      <c r="M23" s="3"/>
      <c r="N23" s="3"/>
      <c r="O23" s="3"/>
      <c r="P23" s="16"/>
      <c r="Q23" s="16"/>
      <c r="R23" s="24"/>
      <c r="S23" s="24"/>
      <c r="T23" s="24"/>
      <c r="U23" s="16"/>
    </row>
    <row r="24" spans="2:25">
      <c r="H24" s="4">
        <v>0.111585986</v>
      </c>
      <c r="I24" s="4">
        <v>6.6951589000000006E-2</v>
      </c>
      <c r="J24" s="4">
        <v>4.4634396999999999E-2</v>
      </c>
      <c r="L24" s="16"/>
      <c r="M24" s="3"/>
      <c r="N24" s="3"/>
      <c r="O24" s="3"/>
      <c r="P24" s="16"/>
      <c r="Q24" s="16"/>
      <c r="R24" s="16"/>
      <c r="S24" s="16"/>
      <c r="T24" s="16"/>
      <c r="U24" s="16"/>
    </row>
    <row r="25" spans="2:25">
      <c r="K25" s="3"/>
      <c r="L25" s="3"/>
      <c r="M25" s="16"/>
      <c r="N25" s="16"/>
      <c r="O25" s="16"/>
      <c r="P25" s="3"/>
      <c r="Q25" s="16"/>
      <c r="R25" s="16"/>
      <c r="S25" s="16"/>
      <c r="T25" s="16"/>
      <c r="U25" s="16"/>
    </row>
    <row r="26" spans="2:25">
      <c r="K26" s="3"/>
      <c r="L26" s="3"/>
      <c r="M26" s="16"/>
      <c r="N26" s="16"/>
      <c r="O26" s="16"/>
      <c r="P26" s="3"/>
      <c r="Q26" s="16"/>
      <c r="R26" s="16"/>
      <c r="S26" s="16"/>
      <c r="T26" s="16"/>
      <c r="U26" s="16"/>
    </row>
  </sheetData>
  <mergeCells count="6">
    <mergeCell ref="M1:O1"/>
    <mergeCell ref="H6:K6"/>
    <mergeCell ref="M6:O6"/>
    <mergeCell ref="R6:U6"/>
    <mergeCell ref="R23:T23"/>
    <mergeCell ref="H1:J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MAL</vt:lpstr>
      <vt:lpstr>BIEN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 SIMO GAUXAX</dc:creator>
  <cp:lastModifiedBy>STIVEN SIMO GAUXAX</cp:lastModifiedBy>
  <dcterms:created xsi:type="dcterms:W3CDTF">2020-10-20T07:22:54Z</dcterms:created>
  <dcterms:modified xsi:type="dcterms:W3CDTF">2020-10-20T18:10:57Z</dcterms:modified>
</cp:coreProperties>
</file>