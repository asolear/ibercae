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7824"/>
  </bookViews>
  <sheets>
    <sheet name="Sheet1" sheetId="1" r:id="rId1"/>
  </sheets>
  <calcPr calcId="152511"/>
</workbook>
</file>

<file path=xl/calcChain.xml><?xml version="1.0" encoding="utf-8"?>
<calcChain xmlns="http://schemas.openxmlformats.org/spreadsheetml/2006/main">
  <c r="U31" i="1" l="1"/>
  <c r="N225" i="1"/>
  <c r="M225" i="1"/>
  <c r="M224" i="1"/>
  <c r="N224" i="1" s="1"/>
  <c r="N223" i="1"/>
  <c r="M223" i="1"/>
  <c r="M222" i="1"/>
  <c r="N222" i="1" s="1"/>
  <c r="N221" i="1"/>
  <c r="M221" i="1"/>
  <c r="M220" i="1"/>
  <c r="N220" i="1" s="1"/>
  <c r="N219" i="1"/>
  <c r="M219" i="1"/>
  <c r="M218" i="1"/>
  <c r="N218" i="1" s="1"/>
  <c r="N217" i="1"/>
  <c r="M217" i="1"/>
  <c r="M216" i="1"/>
  <c r="N216" i="1" s="1"/>
  <c r="N215" i="1"/>
  <c r="M215" i="1"/>
  <c r="M214" i="1"/>
  <c r="N214" i="1" s="1"/>
  <c r="N213" i="1"/>
  <c r="M213" i="1"/>
  <c r="M212" i="1"/>
  <c r="N212" i="1" s="1"/>
  <c r="N211" i="1"/>
  <c r="M211" i="1"/>
  <c r="M210" i="1"/>
  <c r="N210" i="1" s="1"/>
  <c r="N209" i="1"/>
  <c r="M209" i="1"/>
  <c r="M208" i="1"/>
  <c r="N208" i="1" s="1"/>
  <c r="N207" i="1"/>
  <c r="M207" i="1"/>
  <c r="N206" i="1"/>
  <c r="M206" i="1"/>
  <c r="N205" i="1"/>
  <c r="M205" i="1"/>
  <c r="N204" i="1"/>
  <c r="M204" i="1"/>
  <c r="N203" i="1"/>
  <c r="M203" i="1"/>
  <c r="M202" i="1"/>
  <c r="N202" i="1" s="1"/>
  <c r="N201" i="1"/>
  <c r="M201" i="1"/>
  <c r="M200" i="1"/>
  <c r="N200" i="1" s="1"/>
  <c r="N199" i="1"/>
  <c r="M199" i="1"/>
  <c r="M198" i="1"/>
  <c r="N198" i="1" s="1"/>
  <c r="N197" i="1"/>
  <c r="M197" i="1"/>
  <c r="M196" i="1"/>
  <c r="N196" i="1" s="1"/>
  <c r="N195" i="1"/>
  <c r="M195" i="1"/>
  <c r="N194" i="1"/>
  <c r="M194" i="1"/>
  <c r="N193" i="1"/>
  <c r="M193" i="1"/>
  <c r="M192" i="1"/>
  <c r="N192" i="1" s="1"/>
  <c r="N191" i="1"/>
  <c r="M191" i="1"/>
  <c r="M190" i="1"/>
  <c r="N190" i="1" s="1"/>
  <c r="N189" i="1"/>
  <c r="M189" i="1"/>
  <c r="N188" i="1"/>
  <c r="M188" i="1"/>
  <c r="N187" i="1"/>
  <c r="M187" i="1"/>
  <c r="M186" i="1"/>
  <c r="N186" i="1" s="1"/>
  <c r="N185" i="1"/>
  <c r="M185" i="1"/>
  <c r="M184" i="1"/>
  <c r="N184" i="1" s="1"/>
  <c r="N183" i="1"/>
  <c r="M183" i="1"/>
  <c r="M182" i="1"/>
  <c r="N182" i="1" s="1"/>
  <c r="N181" i="1"/>
  <c r="M181" i="1"/>
  <c r="N180" i="1"/>
  <c r="M180" i="1"/>
  <c r="N179" i="1"/>
  <c r="M179" i="1"/>
  <c r="N178" i="1"/>
  <c r="M178" i="1"/>
  <c r="N177" i="1"/>
  <c r="M177" i="1"/>
  <c r="N176" i="1"/>
  <c r="M176" i="1"/>
  <c r="N175" i="1"/>
  <c r="M175" i="1"/>
  <c r="M174" i="1"/>
  <c r="N174" i="1" s="1"/>
  <c r="N173" i="1"/>
  <c r="M173" i="1"/>
  <c r="N172" i="1"/>
  <c r="M172" i="1"/>
  <c r="O141" i="1"/>
  <c r="M141" i="1"/>
  <c r="N141" i="1"/>
  <c r="L141" i="1"/>
  <c r="D143" i="1"/>
  <c r="E143" i="1"/>
  <c r="F143" i="1"/>
  <c r="G143" i="1"/>
  <c r="H143" i="1"/>
  <c r="I143" i="1"/>
  <c r="J143" i="1"/>
  <c r="J142" i="1"/>
  <c r="J141" i="1"/>
  <c r="F101" i="1"/>
  <c r="F102" i="1"/>
  <c r="F100" i="1"/>
  <c r="E101" i="1"/>
  <c r="E102" i="1"/>
  <c r="E100" i="1"/>
  <c r="D102" i="1"/>
  <c r="D101" i="1"/>
  <c r="D100" i="1"/>
  <c r="D99" i="1"/>
  <c r="B100" i="1"/>
  <c r="B101" i="1"/>
  <c r="B102" i="1"/>
  <c r="B99" i="1"/>
  <c r="AF66" i="1"/>
  <c r="AG66" i="1"/>
  <c r="AF65" i="1"/>
  <c r="AG65" i="1"/>
  <c r="AF64" i="1"/>
  <c r="AG64" i="1"/>
  <c r="AG63" i="1"/>
  <c r="AF63" i="1"/>
  <c r="N80" i="1" l="1"/>
  <c r="O80" i="1"/>
  <c r="P80" i="1"/>
  <c r="N81" i="1"/>
  <c r="O81" i="1"/>
  <c r="P81" i="1"/>
  <c r="N82" i="1"/>
  <c r="O82" i="1"/>
  <c r="P82" i="1"/>
  <c r="N83" i="1"/>
  <c r="O83" i="1"/>
  <c r="P83" i="1"/>
  <c r="N84" i="1"/>
  <c r="O84" i="1"/>
  <c r="P84" i="1"/>
  <c r="N85" i="1"/>
  <c r="O85" i="1"/>
  <c r="P85" i="1"/>
  <c r="N86" i="1"/>
  <c r="O86" i="1"/>
  <c r="P86" i="1"/>
  <c r="N87" i="1"/>
  <c r="O87" i="1"/>
  <c r="P87" i="1"/>
  <c r="N88" i="1"/>
  <c r="O88" i="1"/>
  <c r="P88" i="1"/>
  <c r="N89" i="1"/>
  <c r="O89" i="1"/>
  <c r="P89" i="1"/>
  <c r="N90" i="1"/>
  <c r="O90" i="1"/>
  <c r="P90" i="1"/>
  <c r="O79" i="1"/>
  <c r="P79" i="1"/>
  <c r="N79" i="1"/>
  <c r="W132" i="1" l="1"/>
  <c r="Z132" i="1" s="1"/>
  <c r="AD132" i="1" s="1"/>
  <c r="W115" i="1"/>
  <c r="Z115" i="1" s="1"/>
  <c r="AD115" i="1" s="1"/>
  <c r="W80" i="1"/>
  <c r="Z80" i="1" s="1"/>
  <c r="AD80" i="1" s="1"/>
  <c r="W98" i="1"/>
  <c r="Z98" i="1" s="1"/>
  <c r="AD98" i="1" s="1"/>
  <c r="Y109" i="1"/>
  <c r="AB109" i="1" s="1"/>
  <c r="AF109" i="1" s="1"/>
  <c r="Y92" i="1"/>
  <c r="AB92" i="1" s="1"/>
  <c r="AF92" i="1" s="1"/>
  <c r="Y126" i="1"/>
  <c r="AB126" i="1" s="1"/>
  <c r="AF126" i="1" s="1"/>
  <c r="Y74" i="1"/>
  <c r="AB74" i="1" s="1"/>
  <c r="AF74" i="1" s="1"/>
  <c r="Y122" i="1"/>
  <c r="Y88" i="1"/>
  <c r="AB88" i="1" s="1"/>
  <c r="AF88" i="1" s="1"/>
  <c r="Y105" i="1"/>
  <c r="AB105" i="1" s="1"/>
  <c r="AF105" i="1" s="1"/>
  <c r="Y70" i="1"/>
  <c r="AB70" i="1" s="1"/>
  <c r="AF70" i="1" s="1"/>
  <c r="X96" i="1"/>
  <c r="AA96" i="1" s="1"/>
  <c r="AE96" i="1" s="1"/>
  <c r="X113" i="1"/>
  <c r="AA113" i="1" s="1"/>
  <c r="AE113" i="1" s="1"/>
  <c r="X130" i="1"/>
  <c r="AA130" i="1" s="1"/>
  <c r="AE130" i="1" s="1"/>
  <c r="X78" i="1"/>
  <c r="AA78" i="1" s="1"/>
  <c r="AE78" i="1" s="1"/>
  <c r="W112" i="1"/>
  <c r="Z112" i="1" s="1"/>
  <c r="AD112" i="1" s="1"/>
  <c r="W95" i="1"/>
  <c r="Z95" i="1" s="1"/>
  <c r="AD95" i="1" s="1"/>
  <c r="W129" i="1"/>
  <c r="W77" i="1"/>
  <c r="Z77" i="1" s="1"/>
  <c r="AD77" i="1" s="1"/>
  <c r="Y110" i="1"/>
  <c r="AB110" i="1" s="1"/>
  <c r="AF110" i="1" s="1"/>
  <c r="Y93" i="1"/>
  <c r="AB93" i="1" s="1"/>
  <c r="AF93" i="1" s="1"/>
  <c r="Y127" i="1"/>
  <c r="Y75" i="1"/>
  <c r="AB75" i="1" s="1"/>
  <c r="AF75" i="1" s="1"/>
  <c r="X92" i="1"/>
  <c r="AA92" i="1" s="1"/>
  <c r="AE92" i="1" s="1"/>
  <c r="X109" i="1"/>
  <c r="AA109" i="1" s="1"/>
  <c r="AE109" i="1" s="1"/>
  <c r="X126" i="1"/>
  <c r="X74" i="1"/>
  <c r="AA74" i="1" s="1"/>
  <c r="AE74" i="1" s="1"/>
  <c r="W125" i="1"/>
  <c r="Z125" i="1" s="1"/>
  <c r="AD125" i="1" s="1"/>
  <c r="W108" i="1"/>
  <c r="Z108" i="1" s="1"/>
  <c r="AD108" i="1" s="1"/>
  <c r="W91" i="1"/>
  <c r="Z91" i="1" s="1"/>
  <c r="AD91" i="1" s="1"/>
  <c r="W73" i="1"/>
  <c r="Z73" i="1" s="1"/>
  <c r="AD73" i="1" s="1"/>
  <c r="Y123" i="1"/>
  <c r="AB123" i="1" s="1"/>
  <c r="AF123" i="1" s="1"/>
  <c r="Y106" i="1"/>
  <c r="AB106" i="1" s="1"/>
  <c r="AF106" i="1" s="1"/>
  <c r="Y89" i="1"/>
  <c r="AB89" i="1" s="1"/>
  <c r="AF89" i="1" s="1"/>
  <c r="Y71" i="1"/>
  <c r="AB71" i="1" s="1"/>
  <c r="AF71" i="1" s="1"/>
  <c r="X122" i="1"/>
  <c r="X88" i="1"/>
  <c r="AA88" i="1" s="1"/>
  <c r="AE88" i="1" s="1"/>
  <c r="X105" i="1"/>
  <c r="AA105" i="1" s="1"/>
  <c r="AE105" i="1" s="1"/>
  <c r="X70" i="1"/>
  <c r="AA70" i="1" s="1"/>
  <c r="AE70" i="1" s="1"/>
  <c r="Y104" i="1"/>
  <c r="AB104" i="1" s="1"/>
  <c r="AF104" i="1" s="1"/>
  <c r="Y121" i="1"/>
  <c r="AB121" i="1" s="1"/>
  <c r="AF121" i="1" s="1"/>
  <c r="Y87" i="1"/>
  <c r="AB87" i="1" s="1"/>
  <c r="AF87" i="1" s="1"/>
  <c r="Y69" i="1"/>
  <c r="AB69" i="1" s="1"/>
  <c r="AF69" i="1" s="1"/>
  <c r="X129" i="1"/>
  <c r="AA129" i="1" s="1"/>
  <c r="AE129" i="1" s="1"/>
  <c r="X112" i="1"/>
  <c r="AA112" i="1" s="1"/>
  <c r="AE112" i="1" s="1"/>
  <c r="X95" i="1"/>
  <c r="AA95" i="1" s="1"/>
  <c r="AE95" i="1" s="1"/>
  <c r="X77" i="1"/>
  <c r="AA77" i="1" s="1"/>
  <c r="AE77" i="1" s="1"/>
  <c r="X125" i="1"/>
  <c r="AA125" i="1" s="1"/>
  <c r="AE125" i="1" s="1"/>
  <c r="X108" i="1"/>
  <c r="AA108" i="1" s="1"/>
  <c r="AE108" i="1" s="1"/>
  <c r="X91" i="1"/>
  <c r="AA91" i="1" s="1"/>
  <c r="AE91" i="1" s="1"/>
  <c r="X73" i="1"/>
  <c r="AA73" i="1" s="1"/>
  <c r="AE73" i="1" s="1"/>
  <c r="Y114" i="1"/>
  <c r="AB114" i="1" s="1"/>
  <c r="AF114" i="1" s="1"/>
  <c r="Y97" i="1"/>
  <c r="AB97" i="1" s="1"/>
  <c r="AF97" i="1" s="1"/>
  <c r="Y131" i="1"/>
  <c r="AB131" i="1" s="1"/>
  <c r="AF131" i="1" s="1"/>
  <c r="Y79" i="1"/>
  <c r="AB79" i="1" s="1"/>
  <c r="AF79" i="1" s="1"/>
  <c r="Y115" i="1"/>
  <c r="AB115" i="1" s="1"/>
  <c r="AF115" i="1" s="1"/>
  <c r="Y132" i="1"/>
  <c r="Y98" i="1"/>
  <c r="AB98" i="1" s="1"/>
  <c r="AF98" i="1" s="1"/>
  <c r="Y80" i="1"/>
  <c r="AB80" i="1" s="1"/>
  <c r="AF80" i="1" s="1"/>
  <c r="X131" i="1"/>
  <c r="AA131" i="1" s="1"/>
  <c r="AE131" i="1" s="1"/>
  <c r="X114" i="1"/>
  <c r="AA114" i="1" s="1"/>
  <c r="AE114" i="1" s="1"/>
  <c r="X97" i="1"/>
  <c r="AA97" i="1" s="1"/>
  <c r="AE97" i="1" s="1"/>
  <c r="X79" i="1"/>
  <c r="AA79" i="1" s="1"/>
  <c r="AE79" i="1" s="1"/>
  <c r="W130" i="1"/>
  <c r="Z130" i="1" s="1"/>
  <c r="AD130" i="1" s="1"/>
  <c r="W113" i="1"/>
  <c r="Z113" i="1" s="1"/>
  <c r="AD113" i="1" s="1"/>
  <c r="W96" i="1"/>
  <c r="Z96" i="1" s="1"/>
  <c r="AD96" i="1" s="1"/>
  <c r="W78" i="1"/>
  <c r="Z78" i="1" s="1"/>
  <c r="AD78" i="1" s="1"/>
  <c r="Y111" i="1"/>
  <c r="AB111" i="1" s="1"/>
  <c r="AF111" i="1" s="1"/>
  <c r="Y94" i="1"/>
  <c r="AB94" i="1" s="1"/>
  <c r="AF94" i="1" s="1"/>
  <c r="Y128" i="1"/>
  <c r="Y76" i="1"/>
  <c r="AB76" i="1" s="1"/>
  <c r="AF76" i="1" s="1"/>
  <c r="X127" i="1"/>
  <c r="AA127" i="1" s="1"/>
  <c r="AE127" i="1" s="1"/>
  <c r="X110" i="1"/>
  <c r="AA110" i="1" s="1"/>
  <c r="AE110" i="1" s="1"/>
  <c r="X93" i="1"/>
  <c r="AA93" i="1" s="1"/>
  <c r="AE93" i="1" s="1"/>
  <c r="X75" i="1"/>
  <c r="AA75" i="1" s="1"/>
  <c r="AE75" i="1" s="1"/>
  <c r="W126" i="1"/>
  <c r="Z126" i="1" s="1"/>
  <c r="AD126" i="1" s="1"/>
  <c r="W109" i="1"/>
  <c r="Z109" i="1" s="1"/>
  <c r="AD109" i="1" s="1"/>
  <c r="W92" i="1"/>
  <c r="Z92" i="1" s="1"/>
  <c r="AD92" i="1" s="1"/>
  <c r="W74" i="1"/>
  <c r="Z74" i="1" s="1"/>
  <c r="AD74" i="1" s="1"/>
  <c r="Y107" i="1"/>
  <c r="AB107" i="1" s="1"/>
  <c r="AF107" i="1" s="1"/>
  <c r="Y90" i="1"/>
  <c r="AB90" i="1" s="1"/>
  <c r="AF90" i="1" s="1"/>
  <c r="Y124" i="1"/>
  <c r="AB124" i="1" s="1"/>
  <c r="AF124" i="1" s="1"/>
  <c r="Y72" i="1"/>
  <c r="AB72" i="1" s="1"/>
  <c r="AF72" i="1" s="1"/>
  <c r="X123" i="1"/>
  <c r="AA123" i="1" s="1"/>
  <c r="AE123" i="1" s="1"/>
  <c r="X71" i="1"/>
  <c r="AA71" i="1" s="1"/>
  <c r="AE71" i="1" s="1"/>
  <c r="X89" i="1"/>
  <c r="AA89" i="1" s="1"/>
  <c r="AE89" i="1" s="1"/>
  <c r="X106" i="1"/>
  <c r="AA106" i="1" s="1"/>
  <c r="AE106" i="1" s="1"/>
  <c r="W122" i="1"/>
  <c r="Z122" i="1" s="1"/>
  <c r="AD122" i="1" s="1"/>
  <c r="W88" i="1"/>
  <c r="Z88" i="1" s="1"/>
  <c r="AD88" i="1" s="1"/>
  <c r="W70" i="1"/>
  <c r="Z70" i="1" s="1"/>
  <c r="AD70" i="1" s="1"/>
  <c r="W105" i="1"/>
  <c r="Z105" i="1" s="1"/>
  <c r="AD105" i="1" s="1"/>
  <c r="Y113" i="1"/>
  <c r="AB113" i="1" s="1"/>
  <c r="AF113" i="1" s="1"/>
  <c r="Y96" i="1"/>
  <c r="AB96" i="1" s="1"/>
  <c r="AF96" i="1" s="1"/>
  <c r="Y130" i="1"/>
  <c r="Y78" i="1"/>
  <c r="AB78" i="1" s="1"/>
  <c r="AF78" i="1" s="1"/>
  <c r="W111" i="1"/>
  <c r="Z111" i="1" s="1"/>
  <c r="AD111" i="1" s="1"/>
  <c r="W94" i="1"/>
  <c r="Z94" i="1" s="1"/>
  <c r="AD94" i="1" s="1"/>
  <c r="W128" i="1"/>
  <c r="Z128" i="1" s="1"/>
  <c r="AD128" i="1" s="1"/>
  <c r="W76" i="1"/>
  <c r="Z76" i="1" s="1"/>
  <c r="AD76" i="1" s="1"/>
  <c r="W107" i="1"/>
  <c r="Z107" i="1" s="1"/>
  <c r="AD107" i="1" s="1"/>
  <c r="W90" i="1"/>
  <c r="Z90" i="1" s="1"/>
  <c r="AD90" i="1" s="1"/>
  <c r="W124" i="1"/>
  <c r="Z124" i="1" s="1"/>
  <c r="AD124" i="1" s="1"/>
  <c r="W72" i="1"/>
  <c r="Z72" i="1" s="1"/>
  <c r="AD72" i="1" s="1"/>
  <c r="X121" i="1"/>
  <c r="AA121" i="1" s="1"/>
  <c r="AE121" i="1" s="1"/>
  <c r="X69" i="1"/>
  <c r="AA69" i="1" s="1"/>
  <c r="AE69" i="1" s="1"/>
  <c r="X87" i="1"/>
  <c r="AA87" i="1" s="1"/>
  <c r="AE87" i="1" s="1"/>
  <c r="X104" i="1"/>
  <c r="AA104" i="1" s="1"/>
  <c r="AE104" i="1" s="1"/>
  <c r="AE116" i="1" s="1"/>
  <c r="W121" i="1"/>
  <c r="Z121" i="1" s="1"/>
  <c r="AD121" i="1" s="1"/>
  <c r="N91" i="1"/>
  <c r="W87" i="1"/>
  <c r="Z87" i="1" s="1"/>
  <c r="AD87" i="1" s="1"/>
  <c r="W69" i="1"/>
  <c r="Z69" i="1" s="1"/>
  <c r="AD69" i="1" s="1"/>
  <c r="W104" i="1"/>
  <c r="Z104" i="1" s="1"/>
  <c r="AD104" i="1" s="1"/>
  <c r="X132" i="1"/>
  <c r="AA132" i="1" s="1"/>
  <c r="AE132" i="1" s="1"/>
  <c r="X98" i="1"/>
  <c r="AA98" i="1" s="1"/>
  <c r="AE98" i="1" s="1"/>
  <c r="X80" i="1"/>
  <c r="AA80" i="1" s="1"/>
  <c r="AE80" i="1" s="1"/>
  <c r="X115" i="1"/>
  <c r="AA115" i="1" s="1"/>
  <c r="AE115" i="1" s="1"/>
  <c r="W114" i="1"/>
  <c r="Z114" i="1" s="1"/>
  <c r="AD114" i="1" s="1"/>
  <c r="W131" i="1"/>
  <c r="Z131" i="1" s="1"/>
  <c r="AD131" i="1" s="1"/>
  <c r="W97" i="1"/>
  <c r="Z97" i="1" s="1"/>
  <c r="AD97" i="1" s="1"/>
  <c r="W79" i="1"/>
  <c r="Z79" i="1" s="1"/>
  <c r="AD79" i="1" s="1"/>
  <c r="Y95" i="1"/>
  <c r="AB95" i="1" s="1"/>
  <c r="AF95" i="1" s="1"/>
  <c r="Y129" i="1"/>
  <c r="AB129" i="1" s="1"/>
  <c r="AF129" i="1" s="1"/>
  <c r="Y112" i="1"/>
  <c r="AB112" i="1" s="1"/>
  <c r="AF112" i="1" s="1"/>
  <c r="Y77" i="1"/>
  <c r="AB77" i="1" s="1"/>
  <c r="AF77" i="1" s="1"/>
  <c r="X111" i="1"/>
  <c r="AA111" i="1" s="1"/>
  <c r="AE111" i="1" s="1"/>
  <c r="X94" i="1"/>
  <c r="AA94" i="1" s="1"/>
  <c r="AE94" i="1" s="1"/>
  <c r="X128" i="1"/>
  <c r="X76" i="1"/>
  <c r="AA76" i="1" s="1"/>
  <c r="AE76" i="1" s="1"/>
  <c r="W93" i="1"/>
  <c r="Z93" i="1" s="1"/>
  <c r="AD93" i="1" s="1"/>
  <c r="W127" i="1"/>
  <c r="Z127" i="1" s="1"/>
  <c r="AD127" i="1" s="1"/>
  <c r="W110" i="1"/>
  <c r="Z110" i="1" s="1"/>
  <c r="AD110" i="1" s="1"/>
  <c r="W75" i="1"/>
  <c r="Z75" i="1" s="1"/>
  <c r="AD75" i="1" s="1"/>
  <c r="Y108" i="1"/>
  <c r="AB108" i="1" s="1"/>
  <c r="AF108" i="1" s="1"/>
  <c r="Y91" i="1"/>
  <c r="AB91" i="1" s="1"/>
  <c r="AF91" i="1" s="1"/>
  <c r="Y125" i="1"/>
  <c r="AB125" i="1" s="1"/>
  <c r="AF125" i="1" s="1"/>
  <c r="Y73" i="1"/>
  <c r="AB73" i="1" s="1"/>
  <c r="AF73" i="1" s="1"/>
  <c r="X124" i="1"/>
  <c r="X107" i="1"/>
  <c r="AA107" i="1" s="1"/>
  <c r="AE107" i="1" s="1"/>
  <c r="X90" i="1"/>
  <c r="AA90" i="1" s="1"/>
  <c r="AE90" i="1" s="1"/>
  <c r="X72" i="1"/>
  <c r="AA72" i="1" s="1"/>
  <c r="AE72" i="1" s="1"/>
  <c r="W123" i="1"/>
  <c r="Z123" i="1" s="1"/>
  <c r="AD123" i="1" s="1"/>
  <c r="W106" i="1"/>
  <c r="Z106" i="1" s="1"/>
  <c r="AD106" i="1" s="1"/>
  <c r="W71" i="1"/>
  <c r="Z71" i="1" s="1"/>
  <c r="AD71" i="1" s="1"/>
  <c r="W89" i="1"/>
  <c r="Z89" i="1" s="1"/>
  <c r="AD89" i="1" s="1"/>
  <c r="AD99" i="1" l="1"/>
  <c r="AB130" i="1"/>
  <c r="AF130" i="1" s="1"/>
  <c r="AB128" i="1"/>
  <c r="AF128" i="1" s="1"/>
  <c r="AE99" i="1"/>
  <c r="AF99" i="1"/>
  <c r="AA126" i="1"/>
  <c r="AE126" i="1" s="1"/>
  <c r="AB127" i="1"/>
  <c r="AF127" i="1" s="1"/>
  <c r="Z129" i="1"/>
  <c r="AD129" i="1" s="1"/>
  <c r="AD133" i="1" s="1"/>
  <c r="AA128" i="1"/>
  <c r="AE128" i="1" s="1"/>
  <c r="AD81" i="1"/>
  <c r="AF81" i="1"/>
  <c r="AA124" i="1"/>
  <c r="AE124" i="1" s="1"/>
  <c r="AE81" i="1"/>
  <c r="AB132" i="1"/>
  <c r="AF132" i="1" s="1"/>
  <c r="AD116" i="1"/>
  <c r="AF116" i="1"/>
  <c r="AA122" i="1"/>
  <c r="AE122" i="1" s="1"/>
  <c r="AB122" i="1"/>
  <c r="AF122" i="1" s="1"/>
  <c r="AF133" i="1" l="1"/>
  <c r="AD117" i="1"/>
  <c r="AE133" i="1"/>
  <c r="AD82" i="1"/>
  <c r="AD100" i="1"/>
  <c r="N30" i="1"/>
  <c r="U30" i="1" s="1"/>
  <c r="N29" i="1"/>
  <c r="U29" i="1" s="1"/>
  <c r="N28" i="1"/>
  <c r="U28" i="1" s="1"/>
  <c r="AD134" i="1" l="1"/>
  <c r="N27" i="1"/>
  <c r="U27" i="1" s="1"/>
  <c r="N26" i="1" l="1"/>
  <c r="U26" i="1" s="1"/>
  <c r="N25" i="1"/>
  <c r="U25" i="1" s="1"/>
  <c r="N24" i="1"/>
  <c r="U24" i="1" s="1"/>
  <c r="N23" i="1"/>
  <c r="U23" i="1" s="1"/>
  <c r="N21" i="1"/>
  <c r="U21" i="1" s="1"/>
  <c r="N22" i="1"/>
  <c r="U22" i="1" s="1"/>
  <c r="N20" i="1"/>
  <c r="U20" i="1" s="1"/>
  <c r="N19" i="1"/>
  <c r="U19" i="1" s="1"/>
</calcChain>
</file>

<file path=xl/sharedStrings.xml><?xml version="1.0" encoding="utf-8"?>
<sst xmlns="http://schemas.openxmlformats.org/spreadsheetml/2006/main" count="582" uniqueCount="203">
  <si>
    <t>Ejercicio facturación (II)</t>
  </si>
  <si>
    <t>• P1: 0,111585986 €/kW día</t>
  </si>
  <si>
    <t>• P2: 0,066951589 €/kW día</t>
  </si>
  <si>
    <t>• P3: 0,044634397 €/kW día</t>
  </si>
  <si>
    <t>1) Una gráfica donde se vea la proporción economica de: termino de energía, termino de potencia, IVA e impuesto eléctrico como la de la figura 45.</t>
  </si>
  <si>
    <t>2) Calculad la potencia optimizada y su ahorro anual.</t>
  </si>
  <si>
    <t>3) Con el consumo total anual entrad en el comparador de tarifas y mirad cual sería la mejor opción para el año próximo y que coste anual tendría.</t>
  </si>
  <si>
    <t>Para el cálculo de la optimización … Podéis utilizar estos valores para el ejercicio:</t>
  </si>
  <si>
    <t>PASO 1. Obención de datos de las facturas</t>
  </si>
  <si>
    <t>mes</t>
  </si>
  <si>
    <t>año</t>
  </si>
  <si>
    <t>Diciembre</t>
  </si>
  <si>
    <t>Enero</t>
  </si>
  <si>
    <t>Febrero</t>
  </si>
  <si>
    <t xml:space="preserve">Marzo </t>
  </si>
  <si>
    <t>Abril</t>
  </si>
  <si>
    <t>Mayo</t>
  </si>
  <si>
    <t xml:space="preserve">Junio </t>
  </si>
  <si>
    <t>Julio</t>
  </si>
  <si>
    <t>Agosto</t>
  </si>
  <si>
    <t>Septiembre</t>
  </si>
  <si>
    <t>Octubre</t>
  </si>
  <si>
    <t>Noviembre</t>
  </si>
  <si>
    <t>Periodo facturado</t>
  </si>
  <si>
    <t>Energía</t>
  </si>
  <si>
    <t>Potencia</t>
  </si>
  <si>
    <t>IVA</t>
  </si>
  <si>
    <t>Conceptos facturados (importes)</t>
  </si>
  <si>
    <t>TOTAL</t>
  </si>
  <si>
    <t>Ajuste IVA</t>
  </si>
  <si>
    <t>Energía Reactica</t>
  </si>
  <si>
    <t>Ajuste Precios</t>
  </si>
  <si>
    <t>Impuesto Electricidad</t>
  </si>
  <si>
    <t>PASO 2. Generar la gráfica</t>
  </si>
  <si>
    <t>PASO 1. Obtención de datos de las facturas</t>
  </si>
  <si>
    <t>Periodo 1</t>
  </si>
  <si>
    <t>Periodo 2</t>
  </si>
  <si>
    <t>Periodo 3</t>
  </si>
  <si>
    <t>Periodo 4</t>
  </si>
  <si>
    <t>Periodo 5</t>
  </si>
  <si>
    <t>Periodo 6</t>
  </si>
  <si>
    <t>Datos de máximetros en facturas</t>
  </si>
  <si>
    <t>Máxima potencia demandada</t>
  </si>
  <si>
    <t>PASO 2. Máxima potencia demandada por periodo</t>
  </si>
  <si>
    <t>Potencia contrada:</t>
  </si>
  <si>
    <t>kW</t>
  </si>
  <si>
    <t>PASO 3. Caso de facturación para cada periodo</t>
  </si>
  <si>
    <t>Caso 1</t>
  </si>
  <si>
    <t>PD &lt; 85%</t>
  </si>
  <si>
    <t>PF = 0,85 x PC</t>
  </si>
  <si>
    <t>Caso 2</t>
  </si>
  <si>
    <t>85% &lt; PD &lt; 105%</t>
  </si>
  <si>
    <t>PF = Pmedida</t>
  </si>
  <si>
    <t>Caso 3</t>
  </si>
  <si>
    <t>105% &lt; PD</t>
  </si>
  <si>
    <t>PF = Pmedida + 2 x (Pmedida - 1,05 x PC)</t>
  </si>
  <si>
    <t>Comprobamos los casos de cada periodo</t>
  </si>
  <si>
    <t>PC: Potencia Contratada</t>
  </si>
  <si>
    <t>PD: Potencia Demandada</t>
  </si>
  <si>
    <t>PF: Potencia Facturada</t>
  </si>
  <si>
    <t>PC</t>
  </si>
  <si>
    <t>0,85xPC</t>
  </si>
  <si>
    <t>1,05xPC</t>
  </si>
  <si>
    <t>Precio que pagamos por día de kW de potencia facturada para este ejercicio</t>
  </si>
  <si>
    <t>€/kW día</t>
  </si>
  <si>
    <t>Potencia Facturada (kW)</t>
  </si>
  <si>
    <t>Coste mes-periodo</t>
  </si>
  <si>
    <t>Dias</t>
  </si>
  <si>
    <t>Totales:</t>
  </si>
  <si>
    <t>TOTAL:</t>
  </si>
  <si>
    <t xml:space="preserve">1) Costes según factura </t>
  </si>
  <si>
    <t>2) Optimización 1</t>
  </si>
  <si>
    <t>Según factura</t>
  </si>
  <si>
    <t>Optimización 1</t>
  </si>
  <si>
    <t>2) Optimización 2</t>
  </si>
  <si>
    <t>Optimizacion 2</t>
  </si>
  <si>
    <t>Optimización 3</t>
  </si>
  <si>
    <t>3) Optimización 3</t>
  </si>
  <si>
    <t>PASO 4. Ahorro anual</t>
  </si>
  <si>
    <t>Coste total</t>
  </si>
  <si>
    <t>Ahorro</t>
  </si>
  <si>
    <t>%</t>
  </si>
  <si>
    <t>Potencias</t>
  </si>
  <si>
    <t>Consumo Total Anual</t>
  </si>
  <si>
    <t>Totales</t>
  </si>
  <si>
    <t>A</t>
  </si>
  <si>
    <t>B</t>
  </si>
  <si>
    <t>C</t>
  </si>
  <si>
    <t>D</t>
  </si>
  <si>
    <t>E</t>
  </si>
  <si>
    <t>F</t>
  </si>
  <si>
    <t>G</t>
  </si>
  <si>
    <t>Comercializadora</t>
  </si>
  <si>
    <t>Oferta</t>
  </si>
  <si>
    <t>Importe Anual 1er año</t>
  </si>
  <si>
    <t>Importe Anual 2º año</t>
  </si>
  <si>
    <t>Validez</t>
  </si>
  <si>
    <t>Servicios adicionales incluidos</t>
  </si>
  <si>
    <t>Penalización</t>
  </si>
  <si>
    <t>Verde</t>
  </si>
  <si>
    <t>B+C</t>
  </si>
  <si>
    <t>B+C+G</t>
  </si>
  <si>
    <t>ENERGYA VM GESTION DE ENERGÍA, S.L</t>
  </si>
  <si>
    <t>FORMULA LUZ ONLINE 3.0 A</t>
  </si>
  <si>
    <t>Válida para cualquier consumidor</t>
  </si>
  <si>
    <t>Ninguno</t>
  </si>
  <si>
    <t>No</t>
  </si>
  <si>
    <t>RENOVABLES ENRED ENERGÍA, S.L.</t>
  </si>
  <si>
    <t>Fijo A 3.0A JUL 2020 ESPECIAL</t>
  </si>
  <si>
    <t>Oferta válida solo para nuevos clientes</t>
  </si>
  <si>
    <t>RENEWABLE VENTURES SLU</t>
  </si>
  <si>
    <t>ecovatios 3.0 A TARIFA FIJA</t>
  </si>
  <si>
    <t>Si</t>
  </si>
  <si>
    <t>AURA ENERGÍA S.L</t>
  </si>
  <si>
    <t>Aura Energía 3.0A (Península)</t>
  </si>
  <si>
    <t>CATGAS ENERGIA SA</t>
  </si>
  <si>
    <t>3.0A</t>
  </si>
  <si>
    <t>NATURGY IBERIA, S.A.</t>
  </si>
  <si>
    <t>PLAN NEGOCIO A MEDIDA 3.0A -- 100000-350000</t>
  </si>
  <si>
    <t>Oferta válida solo para comercios o negocios</t>
  </si>
  <si>
    <t>CYE ENERGIA SL</t>
  </si>
  <si>
    <t xml:space="preserve">3.0A FIJO </t>
  </si>
  <si>
    <t>AVANZALIA ENERGIA COMERCIALIZADORA SA</t>
  </si>
  <si>
    <t>Tarifa Especial PYMES</t>
  </si>
  <si>
    <t>Válida sólo para consumidores no domésticos</t>
  </si>
  <si>
    <t>ENERGIA VIVA SPAIN, S.L.</t>
  </si>
  <si>
    <t>TARIFA EMPRESAS 3.0A FIJA</t>
  </si>
  <si>
    <t>HIDROELÉCTRICA EL CARMEN ENERGÍA, S.L</t>
  </si>
  <si>
    <t>Atulado 30A</t>
  </si>
  <si>
    <t>GESTERNOVA, S.A.</t>
  </si>
  <si>
    <t>Tarifa Ahorro 3.0</t>
  </si>
  <si>
    <t>VÓLTICO ENERGÍA SL</t>
  </si>
  <si>
    <t>Tarifa Vóltico 3.0A</t>
  </si>
  <si>
    <t>ENERCOLUZ ENERGIA SL</t>
  </si>
  <si>
    <t>ELIGE TU AHORRO 3.0A</t>
  </si>
  <si>
    <t>ENSTROGA, S.L.</t>
  </si>
  <si>
    <t>A Contraluz 3.0A</t>
  </si>
  <si>
    <t>GOIENER S.COOP</t>
  </si>
  <si>
    <t>Goiener 3.0A Trimestral</t>
  </si>
  <si>
    <t>A Toda Luz 3.0A</t>
  </si>
  <si>
    <t>EDP ENERGÍA, S.A.U.</t>
  </si>
  <si>
    <t>COMPROMISO 3.0</t>
  </si>
  <si>
    <t>LA CORRIENTE SOCIEDAD COOPERATIVA</t>
  </si>
  <si>
    <t>LA CORRIENTE 3.0A Anual</t>
  </si>
  <si>
    <t>Goiener 3.0A Anual</t>
  </si>
  <si>
    <t>SOM ENERGIA SCCL</t>
  </si>
  <si>
    <t>Som Energia 3.0</t>
  </si>
  <si>
    <t>Luz Verde 3.0A</t>
  </si>
  <si>
    <t>RA&amp;AN ELÉCTRICA SL</t>
  </si>
  <si>
    <t>PLANET PRO 3.0A</t>
  </si>
  <si>
    <t>SIMPLES ENERGIA DE ESPAÑA, S.L.</t>
  </si>
  <si>
    <t>Tarifa Negocios 3.0A</t>
  </si>
  <si>
    <t>GAOLANIA SERVICIOS SL</t>
  </si>
  <si>
    <t>Gana Pyme plus</t>
  </si>
  <si>
    <t>LA CORRIENTE 3.0A Trimestral</t>
  </si>
  <si>
    <t>MEGARA ENERGIA SOC. COOP</t>
  </si>
  <si>
    <t>Tarifa 3.0A</t>
  </si>
  <si>
    <t>SOLABRIA, S.COOP.</t>
  </si>
  <si>
    <t>SOLABRIA 3.0 A</t>
  </si>
  <si>
    <t>Gana PyME Plus</t>
  </si>
  <si>
    <t>FENIE ENERGIA SA</t>
  </si>
  <si>
    <t>MEGAVATIO 3.0A</t>
  </si>
  <si>
    <t>FACTOR ENERGÍA, S.A.</t>
  </si>
  <si>
    <t>TV3.0A</t>
  </si>
  <si>
    <t>COMERCIALIZADORA ELECTRICA DE CADIZ, S.A.U</t>
  </si>
  <si>
    <t>Premium P2 3.0</t>
  </si>
  <si>
    <t>SYDER COMERCIALIZADORA VERDE SL</t>
  </si>
  <si>
    <t>GENERAL 3.0</t>
  </si>
  <si>
    <t xml:space="preserve">REPSOL COMERCIALIZADORA DE ELECTRICIDAD Y </t>
  </si>
  <si>
    <t>REPSOL PLAN EMPRESAS + Descuento hasta 9 cént./l en carburante</t>
  </si>
  <si>
    <t>REPSOL HOGAR XL + Descuento hasta 9 cént./l en carburante</t>
  </si>
  <si>
    <t>Válida sólo para consumidores domésticos</t>
  </si>
  <si>
    <t>CIDE HCENERGÍA S.A.</t>
  </si>
  <si>
    <t>CHC de Confianza Plena</t>
  </si>
  <si>
    <t>Premium L 3.0</t>
  </si>
  <si>
    <t>NOSA ENERXIA SCG</t>
  </si>
  <si>
    <t>Nosa Enerxía 3.0A</t>
  </si>
  <si>
    <t>Premium M 3.0</t>
  </si>
  <si>
    <t>NINOBE SERVICIOS ENERGÉTICOS, SL</t>
  </si>
  <si>
    <t>NINOBE 3.0A</t>
  </si>
  <si>
    <t>RONDA OESTE ENERGÍA, S.L</t>
  </si>
  <si>
    <t>RONDA OESTE ENERGIA 3.0 A</t>
  </si>
  <si>
    <t>Base 3.0</t>
  </si>
  <si>
    <t>ELECTRICA DE GUIXES ENERGIA, SL</t>
  </si>
  <si>
    <t>TARIFA 3.0A</t>
  </si>
  <si>
    <t>ARACAN ENERGIA S.L.</t>
  </si>
  <si>
    <t>Tarifa 3.0 PREMIUM</t>
  </si>
  <si>
    <t>IBERDROLA CLIENTES, S.A.U.</t>
  </si>
  <si>
    <t>Plan 3.0</t>
  </si>
  <si>
    <t>VOLSLLUM SL</t>
  </si>
  <si>
    <t>3.0 MAXI</t>
  </si>
  <si>
    <t>AQUI ENERGIA</t>
  </si>
  <si>
    <t>3.0A_AQUI_V5</t>
  </si>
  <si>
    <t>COMPAÑIA LUMISA ENERGIAS, SL</t>
  </si>
  <si>
    <t>ELYGAS POWER S.L</t>
  </si>
  <si>
    <t>FIJO 3.0 A</t>
  </si>
  <si>
    <t>LUX FORUM SL</t>
  </si>
  <si>
    <t>Tarifa 3.0</t>
  </si>
  <si>
    <t>WATIUM, S.L.</t>
  </si>
  <si>
    <t>Tarifa 3.0 A</t>
  </si>
  <si>
    <t>ECOEASY EMPRESAS 3.0A &gt; 50001 kWh</t>
  </si>
  <si>
    <t>Mejor oferta NO VERDE</t>
  </si>
  <si>
    <t>Mejor oferta  VERDE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</si>
</sst>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quot;€&quot;"/>
  </numFmts>
  <fonts count="14" x14ac:knownFonts="1">
    <font>
      <sz val="11"/>
      <color theme="1"/>
      <name val="Calibri"/>
      <family val="2"/>
      <scheme val="minor"/>
    </font>
    <font>
      <b/>
      <sz val="11"/>
      <color theme="1"/>
      <name val="Calibri"/>
      <family val="2"/>
      <scheme val="minor"/>
    </font>
    <font>
      <b/>
      <sz val="14.3"/>
      <color rgb="FFA1B386"/>
      <name val="Arial"/>
      <family val="2"/>
    </font>
    <font>
      <sz val="11"/>
      <color rgb="FF222222"/>
      <name val="Calibri"/>
      <family val="2"/>
      <scheme val="minor"/>
    </font>
    <font>
      <sz val="11"/>
      <color theme="1"/>
      <name val="Calibri"/>
      <family val="2"/>
      <scheme val="minor"/>
    </font>
    <font>
      <b/>
      <sz val="16"/>
      <color theme="1"/>
      <name val="Calibri"/>
      <family val="2"/>
      <scheme val="minor"/>
    </font>
    <font>
      <sz val="11"/>
      <name val="Calibri"/>
      <family val="2"/>
      <scheme val="minor"/>
    </font>
    <font>
      <sz val="10"/>
      <color rgb="FF0070C0"/>
      <name val="Helvetica"/>
    </font>
    <font>
      <sz val="11"/>
      <color rgb="FF0070C0"/>
      <name val="Calibri"/>
      <family val="2"/>
      <scheme val="minor"/>
    </font>
    <font>
      <sz val="10"/>
      <name val="Helvetica"/>
    </font>
    <font>
      <sz val="12"/>
      <color rgb="FF222222"/>
      <name val="Helvetica"/>
    </font>
    <font>
      <sz val="10"/>
      <name val="Arial"/>
      <family val="2"/>
    </font>
    <font>
      <sz val="10"/>
      <color indexed="8"/>
      <name val="SansSerif"/>
      <charset val="2"/>
    </font>
    <font>
      <b/>
      <sz val="9"/>
      <color indexed="8"/>
      <name val="SansSerif"/>
      <charset val="2"/>
    </font>
  </fonts>
  <fills count="13">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00B050"/>
        <bgColor indexed="64"/>
      </patternFill>
    </fill>
    <fill>
      <patternFill patternType="solid">
        <fgColor rgb="FF92D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indexed="4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70">
    <xf numFmtId="0" fontId="0" fillId="0" borderId="0" xfId="0"/>
    <xf numFmtId="0" fontId="2" fillId="0" borderId="0" xfId="0" applyFont="1" applyAlignment="1">
      <alignment horizontal="left" vertical="top"/>
    </xf>
    <xf numFmtId="0" fontId="0" fillId="0" borderId="0" xfId="0" applyFont="1"/>
    <xf numFmtId="0" fontId="3" fillId="0" borderId="0" xfId="0" applyFont="1"/>
    <xf numFmtId="0" fontId="1" fillId="0" borderId="0" xfId="0" applyFont="1"/>
    <xf numFmtId="0" fontId="0" fillId="0" borderId="0" xfId="0" applyAlignment="1">
      <alignment horizontal="left"/>
    </xf>
    <xf numFmtId="4" fontId="0" fillId="0" borderId="0" xfId="0" applyNumberFormat="1"/>
    <xf numFmtId="0" fontId="0" fillId="0" borderId="0" xfId="0" applyAlignment="1">
      <alignment horizontal="center"/>
    </xf>
    <xf numFmtId="0" fontId="0" fillId="0" borderId="0" xfId="0" applyAlignment="1">
      <alignment wrapText="1"/>
    </xf>
    <xf numFmtId="0" fontId="0" fillId="2" borderId="0" xfId="0" applyFill="1" applyAlignment="1">
      <alignment horizontal="left"/>
    </xf>
    <xf numFmtId="0" fontId="0" fillId="2" borderId="0" xfId="0" applyFill="1" applyAlignment="1">
      <alignment horizontal="center"/>
    </xf>
    <xf numFmtId="4" fontId="0" fillId="2" borderId="0" xfId="0" applyNumberFormat="1" applyFill="1"/>
    <xf numFmtId="0" fontId="1" fillId="4" borderId="1" xfId="0" applyFont="1" applyFill="1" applyBorder="1" applyAlignment="1">
      <alignment horizontal="center"/>
    </xf>
    <xf numFmtId="0" fontId="1" fillId="4" borderId="1" xfId="0" applyFont="1" applyFill="1" applyBorder="1" applyAlignment="1">
      <alignment horizontal="center" wrapText="1"/>
    </xf>
    <xf numFmtId="0" fontId="0" fillId="3" borderId="1" xfId="0" applyFill="1" applyBorder="1" applyAlignment="1">
      <alignment horizontal="center"/>
    </xf>
    <xf numFmtId="0" fontId="0" fillId="7" borderId="1" xfId="0" applyFill="1" applyBorder="1" applyAlignment="1">
      <alignment horizontal="center"/>
    </xf>
    <xf numFmtId="0" fontId="0" fillId="7" borderId="1" xfId="0" applyFill="1" applyBorder="1" applyAlignment="1">
      <alignment horizontal="center" wrapText="1"/>
    </xf>
    <xf numFmtId="0" fontId="1" fillId="4" borderId="1" xfId="0" applyFont="1" applyFill="1" applyBorder="1" applyAlignment="1">
      <alignment horizontal="center" wrapText="1"/>
    </xf>
    <xf numFmtId="0" fontId="0" fillId="0" borderId="0" xfId="0" applyFill="1" applyAlignment="1">
      <alignment horizontal="left"/>
    </xf>
    <xf numFmtId="0" fontId="0" fillId="0" borderId="0" xfId="0" applyFill="1" applyBorder="1" applyAlignment="1">
      <alignment wrapText="1"/>
    </xf>
    <xf numFmtId="0" fontId="0" fillId="0" borderId="0" xfId="0" applyFill="1" applyBorder="1" applyAlignment="1">
      <alignment horizontal="left"/>
    </xf>
    <xf numFmtId="0" fontId="0" fillId="0" borderId="0" xfId="0" applyFill="1" applyBorder="1"/>
    <xf numFmtId="0" fontId="5" fillId="0" borderId="0" xfId="0" applyFont="1"/>
    <xf numFmtId="0" fontId="1" fillId="4" borderId="2" xfId="0" applyFont="1" applyFill="1" applyBorder="1" applyAlignment="1">
      <alignment horizontal="center"/>
    </xf>
    <xf numFmtId="0" fontId="1" fillId="4" borderId="2" xfId="0" applyFont="1" applyFill="1" applyBorder="1" applyAlignment="1">
      <alignment horizontal="center" wrapText="1"/>
    </xf>
    <xf numFmtId="0" fontId="0" fillId="3" borderId="1" xfId="0" applyFill="1" applyBorder="1" applyAlignment="1">
      <alignment horizontal="center"/>
    </xf>
    <xf numFmtId="0" fontId="0" fillId="3" borderId="3" xfId="0" applyFill="1" applyBorder="1" applyAlignment="1">
      <alignment horizontal="center"/>
    </xf>
    <xf numFmtId="0" fontId="0" fillId="0" borderId="5" xfId="0" applyBorder="1" applyAlignment="1">
      <alignment horizontal="center"/>
    </xf>
    <xf numFmtId="0" fontId="0" fillId="8" borderId="1" xfId="0" applyFill="1" applyBorder="1" applyAlignment="1">
      <alignment horizontal="center"/>
    </xf>
    <xf numFmtId="0" fontId="0" fillId="6" borderId="5" xfId="0" applyFill="1" applyBorder="1" applyAlignment="1">
      <alignment horizontal="center"/>
    </xf>
    <xf numFmtId="0" fontId="0" fillId="9" borderId="4" xfId="0" applyFill="1" applyBorder="1" applyAlignment="1">
      <alignment horizontal="center"/>
    </xf>
    <xf numFmtId="0" fontId="0" fillId="9" borderId="5" xfId="0" applyFill="1" applyBorder="1" applyAlignment="1">
      <alignment horizontal="center"/>
    </xf>
    <xf numFmtId="0" fontId="0" fillId="9" borderId="1" xfId="0" applyFill="1" applyBorder="1" applyAlignment="1">
      <alignment horizontal="center"/>
    </xf>
    <xf numFmtId="0" fontId="0" fillId="2" borderId="0" xfId="0" applyFill="1"/>
    <xf numFmtId="0" fontId="0" fillId="0" borderId="0" xfId="0" applyFill="1" applyAlignment="1">
      <alignment horizontal="center"/>
    </xf>
    <xf numFmtId="0" fontId="0" fillId="0" borderId="0" xfId="0" applyFill="1"/>
    <xf numFmtId="0" fontId="7" fillId="0" borderId="1" xfId="0" applyFont="1" applyFill="1" applyBorder="1" applyAlignment="1">
      <alignment horizontal="center" vertical="center" wrapText="1"/>
    </xf>
    <xf numFmtId="0" fontId="8" fillId="0" borderId="1" xfId="0" applyFont="1" applyFill="1" applyBorder="1" applyAlignment="1">
      <alignment horizontal="center"/>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 fillId="0" borderId="0" xfId="0" applyFont="1" applyFill="1" applyBorder="1" applyAlignment="1"/>
    <xf numFmtId="0" fontId="0" fillId="0" borderId="0" xfId="0" applyFont="1" applyFill="1" applyBorder="1" applyAlignment="1"/>
    <xf numFmtId="0" fontId="7" fillId="0" borderId="0" xfId="0" applyFont="1" applyFill="1" applyBorder="1" applyAlignment="1">
      <alignment horizontal="left" vertical="center"/>
    </xf>
    <xf numFmtId="0" fontId="6" fillId="4" borderId="1" xfId="0" applyFont="1" applyFill="1" applyBorder="1" applyAlignment="1">
      <alignment horizontal="center"/>
    </xf>
    <xf numFmtId="0" fontId="9" fillId="4" borderId="1" xfId="0" applyFont="1" applyFill="1" applyBorder="1" applyAlignment="1">
      <alignment horizontal="left" vertical="center"/>
    </xf>
    <xf numFmtId="0" fontId="0" fillId="7" borderId="0" xfId="0" applyFill="1" applyAlignment="1">
      <alignment horizontal="center"/>
    </xf>
    <xf numFmtId="0" fontId="0" fillId="10" borderId="1" xfId="0" applyFill="1" applyBorder="1" applyAlignment="1">
      <alignment horizontal="center"/>
    </xf>
    <xf numFmtId="0" fontId="0" fillId="11" borderId="0" xfId="0" applyFill="1"/>
    <xf numFmtId="0" fontId="10" fillId="0" borderId="0" xfId="0" applyFont="1"/>
    <xf numFmtId="0" fontId="3" fillId="0" borderId="0" xfId="0" applyFont="1" applyAlignment="1">
      <alignment horizontal="center"/>
    </xf>
    <xf numFmtId="0" fontId="0" fillId="8" borderId="3" xfId="0" applyFill="1" applyBorder="1" applyAlignment="1">
      <alignment horizontal="center"/>
    </xf>
    <xf numFmtId="4" fontId="0" fillId="0" borderId="5" xfId="0" applyNumberFormat="1" applyBorder="1"/>
    <xf numFmtId="4" fontId="0" fillId="0" borderId="0" xfId="0" applyNumberFormat="1" applyFill="1" applyBorder="1"/>
    <xf numFmtId="0" fontId="0" fillId="0" borderId="1" xfId="0" applyBorder="1" applyAlignment="1">
      <alignment horizontal="center"/>
    </xf>
    <xf numFmtId="0" fontId="0" fillId="0" borderId="1" xfId="0" applyFill="1" applyBorder="1" applyAlignment="1">
      <alignment horizontal="center"/>
    </xf>
    <xf numFmtId="9" fontId="0" fillId="0" borderId="0" xfId="1" applyFont="1"/>
    <xf numFmtId="9" fontId="0" fillId="2" borderId="0" xfId="1" applyFont="1" applyFill="1"/>
    <xf numFmtId="4" fontId="1" fillId="0" borderId="0" xfId="0" applyNumberFormat="1" applyFont="1"/>
    <xf numFmtId="4" fontId="0" fillId="0" borderId="0" xfId="0" applyNumberFormat="1" applyFont="1"/>
    <xf numFmtId="0" fontId="11" fillId="0" borderId="0" xfId="0" applyFont="1" applyAlignment="1">
      <alignment horizontal="center"/>
    </xf>
    <xf numFmtId="0" fontId="11" fillId="0" borderId="0" xfId="0" applyFont="1"/>
    <xf numFmtId="0" fontId="12" fillId="0" borderId="0" xfId="0" applyFont="1" applyBorder="1" applyAlignment="1" applyProtection="1">
      <alignment horizontal="left" vertical="top" wrapText="1"/>
    </xf>
    <xf numFmtId="0" fontId="13" fillId="12" borderId="0" xfId="0" applyFont="1" applyFill="1" applyBorder="1" applyAlignment="1" applyProtection="1">
      <alignment horizontal="center" vertical="center" wrapText="1"/>
    </xf>
    <xf numFmtId="0" fontId="12" fillId="0" borderId="0" xfId="0" applyFont="1" applyBorder="1" applyAlignment="1" applyProtection="1">
      <alignment horizontal="left" vertical="center" wrapText="1"/>
    </xf>
    <xf numFmtId="164" fontId="12" fillId="0" borderId="0" xfId="0" applyNumberFormat="1" applyFont="1" applyBorder="1" applyAlignment="1" applyProtection="1">
      <alignment horizontal="left" vertical="center" wrapText="1"/>
    </xf>
    <xf numFmtId="164" fontId="12" fillId="0" borderId="0" xfId="0" applyNumberFormat="1" applyFont="1" applyBorder="1" applyAlignment="1" applyProtection="1">
      <alignment horizontal="center" vertical="center" wrapText="1"/>
    </xf>
    <xf numFmtId="0" fontId="12" fillId="0" borderId="0" xfId="0" applyFont="1" applyBorder="1" applyAlignment="1" applyProtection="1">
      <alignment horizontal="center" vertical="center" wrapText="1"/>
    </xf>
    <xf numFmtId="164" fontId="0" fillId="2" borderId="0" xfId="0" applyNumberFormat="1" applyFill="1"/>
    <xf numFmtId="164" fontId="0" fillId="0" borderId="0" xfId="0" applyNumberFormat="1"/>
    <xf numFmtId="164" fontId="0" fillId="5" borderId="0" xfId="0" applyNumberFormat="1" applyFill="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a-ES" sz="1400" b="0" i="0" u="none" strike="noStrike" baseline="0">
                <a:effectLst/>
              </a:rPr>
              <a:t>Costes eléctricos mensuales por conceptos facturados</a:t>
            </a:r>
            <a:endParaRPr lang="ca-E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plotArea>
      <c:layout/>
      <c:barChart>
        <c:barDir val="col"/>
        <c:grouping val="stacked"/>
        <c:varyColors val="0"/>
        <c:ser>
          <c:idx val="0"/>
          <c:order val="0"/>
          <c:tx>
            <c:strRef>
              <c:f>Sheet1!$N$18</c:f>
              <c:strCache>
                <c:ptCount val="1"/>
                <c:pt idx="0">
                  <c:v>Energía</c:v>
                </c:pt>
              </c:strCache>
            </c:strRef>
          </c:tx>
          <c:spPr>
            <a:solidFill>
              <a:schemeClr val="accent1"/>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Sheet1!$N$19:$N$30</c:f>
              <c:numCache>
                <c:formatCode>#,##0.00</c:formatCode>
                <c:ptCount val="12"/>
                <c:pt idx="0">
                  <c:v>1827.33</c:v>
                </c:pt>
                <c:pt idx="1">
                  <c:v>2419.6900000000005</c:v>
                </c:pt>
                <c:pt idx="2">
                  <c:v>2252.1000000000004</c:v>
                </c:pt>
                <c:pt idx="3">
                  <c:v>1500.35</c:v>
                </c:pt>
                <c:pt idx="4">
                  <c:v>1167.3999999999999</c:v>
                </c:pt>
                <c:pt idx="5">
                  <c:v>1101.05</c:v>
                </c:pt>
                <c:pt idx="6">
                  <c:v>1099.6599999999999</c:v>
                </c:pt>
                <c:pt idx="7">
                  <c:v>1037.9000000000001</c:v>
                </c:pt>
                <c:pt idx="8">
                  <c:v>980.41</c:v>
                </c:pt>
                <c:pt idx="9">
                  <c:v>1015.6</c:v>
                </c:pt>
                <c:pt idx="10">
                  <c:v>1153.31</c:v>
                </c:pt>
                <c:pt idx="11">
                  <c:v>1353.33</c:v>
                </c:pt>
              </c:numCache>
            </c:numRef>
          </c:val>
        </c:ser>
        <c:ser>
          <c:idx val="1"/>
          <c:order val="1"/>
          <c:tx>
            <c:strRef>
              <c:f>Sheet1!$O$18</c:f>
              <c:strCache>
                <c:ptCount val="1"/>
                <c:pt idx="0">
                  <c:v>Potencia</c:v>
                </c:pt>
              </c:strCache>
            </c:strRef>
          </c:tx>
          <c:spPr>
            <a:solidFill>
              <a:schemeClr val="accent2"/>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Sheet1!$O$19:$O$30</c:f>
              <c:numCache>
                <c:formatCode>#,##0.00</c:formatCode>
                <c:ptCount val="12"/>
                <c:pt idx="0">
                  <c:v>339.03</c:v>
                </c:pt>
                <c:pt idx="1">
                  <c:v>358.94</c:v>
                </c:pt>
                <c:pt idx="2">
                  <c:v>335.78</c:v>
                </c:pt>
                <c:pt idx="3">
                  <c:v>358.94</c:v>
                </c:pt>
                <c:pt idx="4">
                  <c:v>365.04</c:v>
                </c:pt>
                <c:pt idx="5">
                  <c:v>377.21</c:v>
                </c:pt>
                <c:pt idx="6">
                  <c:v>365.04</c:v>
                </c:pt>
                <c:pt idx="7">
                  <c:v>377.21</c:v>
                </c:pt>
                <c:pt idx="8">
                  <c:v>377.21</c:v>
                </c:pt>
                <c:pt idx="9">
                  <c:v>365.04</c:v>
                </c:pt>
                <c:pt idx="10">
                  <c:v>377.21</c:v>
                </c:pt>
                <c:pt idx="11">
                  <c:v>365.04</c:v>
                </c:pt>
              </c:numCache>
            </c:numRef>
          </c:val>
        </c:ser>
        <c:ser>
          <c:idx val="2"/>
          <c:order val="2"/>
          <c:tx>
            <c:strRef>
              <c:f>Sheet1!$P$18</c:f>
              <c:strCache>
                <c:ptCount val="1"/>
                <c:pt idx="0">
                  <c:v>Impuesto Electricidad</c:v>
                </c:pt>
              </c:strCache>
            </c:strRef>
          </c:tx>
          <c:spPr>
            <a:solidFill>
              <a:schemeClr val="accent3"/>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Sheet1!$P$19:$P$30</c:f>
              <c:numCache>
                <c:formatCode>#,##0.00</c:formatCode>
                <c:ptCount val="12"/>
                <c:pt idx="0">
                  <c:v>110.76</c:v>
                </c:pt>
                <c:pt idx="1">
                  <c:v>142.06</c:v>
                </c:pt>
                <c:pt idx="2">
                  <c:v>132.31</c:v>
                </c:pt>
                <c:pt idx="3">
                  <c:v>95.06</c:v>
                </c:pt>
                <c:pt idx="4">
                  <c:v>78.349999999999994</c:v>
                </c:pt>
                <c:pt idx="5">
                  <c:v>75.58</c:v>
                </c:pt>
                <c:pt idx="6">
                  <c:v>74.89</c:v>
                </c:pt>
                <c:pt idx="7">
                  <c:v>72.349999999999994</c:v>
                </c:pt>
                <c:pt idx="8">
                  <c:v>73.41</c:v>
                </c:pt>
                <c:pt idx="9">
                  <c:v>74.59</c:v>
                </c:pt>
                <c:pt idx="10">
                  <c:v>82.25</c:v>
                </c:pt>
                <c:pt idx="11">
                  <c:v>95.98</c:v>
                </c:pt>
              </c:numCache>
            </c:numRef>
          </c:val>
        </c:ser>
        <c:ser>
          <c:idx val="3"/>
          <c:order val="3"/>
          <c:tx>
            <c:strRef>
              <c:f>Sheet1!$Q$18</c:f>
              <c:strCache>
                <c:ptCount val="1"/>
                <c:pt idx="0">
                  <c:v>IVA</c:v>
                </c:pt>
              </c:strCache>
            </c:strRef>
          </c:tx>
          <c:spPr>
            <a:solidFill>
              <a:schemeClr val="accent4"/>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Sheet1!$Q$19:$Q$30</c:f>
              <c:numCache>
                <c:formatCode>#,##0.00</c:formatCode>
                <c:ptCount val="12"/>
                <c:pt idx="0">
                  <c:v>409.88</c:v>
                </c:pt>
                <c:pt idx="1">
                  <c:v>525.72</c:v>
                </c:pt>
                <c:pt idx="2">
                  <c:v>489.63</c:v>
                </c:pt>
                <c:pt idx="3">
                  <c:v>351.78</c:v>
                </c:pt>
                <c:pt idx="4">
                  <c:v>289.94</c:v>
                </c:pt>
                <c:pt idx="5">
                  <c:v>279.69</c:v>
                </c:pt>
                <c:pt idx="6">
                  <c:v>277.13</c:v>
                </c:pt>
                <c:pt idx="7">
                  <c:v>267.74</c:v>
                </c:pt>
                <c:pt idx="8">
                  <c:v>299.68</c:v>
                </c:pt>
                <c:pt idx="9">
                  <c:v>304.76</c:v>
                </c:pt>
                <c:pt idx="10">
                  <c:v>337.84</c:v>
                </c:pt>
                <c:pt idx="11">
                  <c:v>379.86</c:v>
                </c:pt>
              </c:numCache>
            </c:numRef>
          </c:val>
        </c:ser>
        <c:ser>
          <c:idx val="4"/>
          <c:order val="4"/>
          <c:tx>
            <c:strRef>
              <c:f>Sheet1!$R$18</c:f>
              <c:strCache>
                <c:ptCount val="1"/>
                <c:pt idx="0">
                  <c:v>Ajuste Precios</c:v>
                </c:pt>
              </c:strCache>
            </c:strRef>
          </c:tx>
          <c:spPr>
            <a:solidFill>
              <a:schemeClr val="accent5"/>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Sheet1!$R$19:$R$30</c:f>
              <c:numCache>
                <c:formatCode>#,##0.00</c:formatCode>
                <c:ptCount val="12"/>
                <c:pt idx="0">
                  <c:v>0</c:v>
                </c:pt>
                <c:pt idx="1">
                  <c:v>0</c:v>
                </c:pt>
                <c:pt idx="2">
                  <c:v>0</c:v>
                </c:pt>
                <c:pt idx="3">
                  <c:v>0</c:v>
                </c:pt>
                <c:pt idx="4">
                  <c:v>0</c:v>
                </c:pt>
                <c:pt idx="5">
                  <c:v>0</c:v>
                </c:pt>
                <c:pt idx="6">
                  <c:v>0</c:v>
                </c:pt>
                <c:pt idx="7">
                  <c:v>0</c:v>
                </c:pt>
                <c:pt idx="8">
                  <c:v>78.209999999999994</c:v>
                </c:pt>
                <c:pt idx="9">
                  <c:v>78.209999999999994</c:v>
                </c:pt>
                <c:pt idx="10">
                  <c:v>78.209999999999994</c:v>
                </c:pt>
                <c:pt idx="11">
                  <c:v>156.41</c:v>
                </c:pt>
              </c:numCache>
            </c:numRef>
          </c:val>
        </c:ser>
        <c:ser>
          <c:idx val="5"/>
          <c:order val="5"/>
          <c:tx>
            <c:strRef>
              <c:f>Sheet1!$S$18</c:f>
              <c:strCache>
                <c:ptCount val="1"/>
                <c:pt idx="0">
                  <c:v>Ajuste IVA</c:v>
                </c:pt>
              </c:strCache>
            </c:strRef>
          </c:tx>
          <c:spPr>
            <a:solidFill>
              <a:schemeClr val="accent6"/>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Sheet1!$S$19:$S$30</c:f>
              <c:numCache>
                <c:formatCode>#,##0.00</c:formatCode>
                <c:ptCount val="12"/>
                <c:pt idx="0">
                  <c:v>0</c:v>
                </c:pt>
                <c:pt idx="1">
                  <c:v>0</c:v>
                </c:pt>
                <c:pt idx="2">
                  <c:v>0</c:v>
                </c:pt>
                <c:pt idx="3">
                  <c:v>0</c:v>
                </c:pt>
                <c:pt idx="4">
                  <c:v>0</c:v>
                </c:pt>
                <c:pt idx="5">
                  <c:v>0</c:v>
                </c:pt>
                <c:pt idx="6">
                  <c:v>0</c:v>
                </c:pt>
                <c:pt idx="7">
                  <c:v>0</c:v>
                </c:pt>
                <c:pt idx="8">
                  <c:v>14.8</c:v>
                </c:pt>
                <c:pt idx="9">
                  <c:v>14.8</c:v>
                </c:pt>
                <c:pt idx="10">
                  <c:v>14.8</c:v>
                </c:pt>
                <c:pt idx="11">
                  <c:v>29.59</c:v>
                </c:pt>
              </c:numCache>
            </c:numRef>
          </c:val>
        </c:ser>
        <c:ser>
          <c:idx val="6"/>
          <c:order val="6"/>
          <c:tx>
            <c:strRef>
              <c:f>Sheet1!$T$18</c:f>
              <c:strCache>
                <c:ptCount val="1"/>
                <c:pt idx="0">
                  <c:v>Energía Reactica</c:v>
                </c:pt>
              </c:strCache>
            </c:strRef>
          </c:tx>
          <c:spPr>
            <a:solidFill>
              <a:schemeClr val="accent1">
                <a:lumMod val="60000"/>
              </a:schemeClr>
            </a:solidFill>
            <a:ln>
              <a:noFill/>
            </a:ln>
            <a:effectLst/>
          </c:spPr>
          <c:invertIfNegative val="0"/>
          <c:cat>
            <c:strRef>
              <c:f>Sheet1!$M$19:$M$30</c:f>
              <c:strCache>
                <c:ptCount val="12"/>
                <c:pt idx="0">
                  <c:v>Diciembre</c:v>
                </c:pt>
                <c:pt idx="1">
                  <c:v>Enero</c:v>
                </c:pt>
                <c:pt idx="2">
                  <c:v>Febrero</c:v>
                </c:pt>
                <c:pt idx="3">
                  <c:v>Marzo </c:v>
                </c:pt>
                <c:pt idx="4">
                  <c:v>Abril</c:v>
                </c:pt>
                <c:pt idx="5">
                  <c:v>Mayo</c:v>
                </c:pt>
                <c:pt idx="6">
                  <c:v>Junio </c:v>
                </c:pt>
                <c:pt idx="7">
                  <c:v>Julio</c:v>
                </c:pt>
                <c:pt idx="8">
                  <c:v>Agosto</c:v>
                </c:pt>
                <c:pt idx="9">
                  <c:v>Septiembre</c:v>
                </c:pt>
                <c:pt idx="10">
                  <c:v>Octubre</c:v>
                </c:pt>
                <c:pt idx="11">
                  <c:v>Noviembre</c:v>
                </c:pt>
              </c:strCache>
            </c:strRef>
          </c:cat>
          <c:val>
            <c:numRef>
              <c:f>Sheet1!$T$19:$T$30</c:f>
              <c:numCache>
                <c:formatCode>#,##0.00</c:formatCode>
                <c:ptCount val="12"/>
                <c:pt idx="0">
                  <c:v>0</c:v>
                </c:pt>
                <c:pt idx="1">
                  <c:v>0</c:v>
                </c:pt>
                <c:pt idx="2">
                  <c:v>0</c:v>
                </c:pt>
                <c:pt idx="3">
                  <c:v>0</c:v>
                </c:pt>
                <c:pt idx="4">
                  <c:v>0</c:v>
                </c:pt>
                <c:pt idx="5">
                  <c:v>0</c:v>
                </c:pt>
                <c:pt idx="6">
                  <c:v>0</c:v>
                </c:pt>
                <c:pt idx="7">
                  <c:v>0</c:v>
                </c:pt>
                <c:pt idx="8">
                  <c:v>0</c:v>
                </c:pt>
                <c:pt idx="9">
                  <c:v>0</c:v>
                </c:pt>
                <c:pt idx="10">
                  <c:v>0</c:v>
                </c:pt>
                <c:pt idx="11">
                  <c:v>2.4900000000000002</c:v>
                </c:pt>
              </c:numCache>
            </c:numRef>
          </c:val>
        </c:ser>
        <c:dLbls>
          <c:showLegendKey val="0"/>
          <c:showVal val="0"/>
          <c:showCatName val="0"/>
          <c:showSerName val="0"/>
          <c:showPercent val="0"/>
          <c:showBubbleSize val="0"/>
        </c:dLbls>
        <c:gapWidth val="150"/>
        <c:overlap val="100"/>
        <c:axId val="491214064"/>
        <c:axId val="491215632"/>
      </c:barChart>
      <c:catAx>
        <c:axId val="49121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491215632"/>
        <c:crosses val="autoZero"/>
        <c:auto val="1"/>
        <c:lblAlgn val="ctr"/>
        <c:lblOffset val="100"/>
        <c:noMultiLvlLbl val="0"/>
      </c:catAx>
      <c:valAx>
        <c:axId val="49121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4912140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579121</xdr:colOff>
      <xdr:row>16</xdr:row>
      <xdr:rowOff>53340</xdr:rowOff>
    </xdr:from>
    <xdr:to>
      <xdr:col>9</xdr:col>
      <xdr:colOff>268046</xdr:colOff>
      <xdr:row>30</xdr:row>
      <xdr:rowOff>133928</xdr:rowOff>
    </xdr:to>
    <xdr:pic>
      <xdr:nvPicPr>
        <xdr:cNvPr id="2" name="Imagen 1"/>
        <xdr:cNvPicPr>
          <a:picLocks noChangeAspect="1"/>
        </xdr:cNvPicPr>
      </xdr:nvPicPr>
      <xdr:blipFill>
        <a:blip xmlns:r="http://schemas.openxmlformats.org/officeDocument/2006/relationships" r:embed="rId1"/>
        <a:stretch>
          <a:fillRect/>
        </a:stretch>
      </xdr:blipFill>
      <xdr:spPr>
        <a:xfrm>
          <a:off x="579121" y="2849880"/>
          <a:ext cx="5471160" cy="2832753"/>
        </a:xfrm>
        <a:prstGeom prst="rect">
          <a:avLst/>
        </a:prstGeom>
      </xdr:spPr>
    </xdr:pic>
    <xdr:clientData/>
  </xdr:twoCellAnchor>
  <xdr:twoCellAnchor>
    <xdr:from>
      <xdr:col>21</xdr:col>
      <xdr:colOff>125505</xdr:colOff>
      <xdr:row>16</xdr:row>
      <xdr:rowOff>44822</xdr:rowOff>
    </xdr:from>
    <xdr:to>
      <xdr:col>34</xdr:col>
      <xdr:colOff>502023</xdr:colOff>
      <xdr:row>46</xdr:row>
      <xdr:rowOff>44824</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35859</xdr:colOff>
      <xdr:row>32</xdr:row>
      <xdr:rowOff>116540</xdr:rowOff>
    </xdr:from>
    <xdr:to>
      <xdr:col>21</xdr:col>
      <xdr:colOff>0</xdr:colOff>
      <xdr:row>58</xdr:row>
      <xdr:rowOff>94576</xdr:rowOff>
    </xdr:to>
    <xdr:sp macro="" textlink="">
      <xdr:nvSpPr>
        <xdr:cNvPr id="4" name="CuadroTexto 3"/>
        <xdr:cNvSpPr txBox="1"/>
      </xdr:nvSpPr>
      <xdr:spPr>
        <a:xfrm>
          <a:off x="645459" y="6185646"/>
          <a:ext cx="13357412" cy="46396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b="1"/>
            <a:t>OBSERVACIONES:</a:t>
          </a:r>
        </a:p>
        <a:p>
          <a:endParaRPr lang="ca-ES" sz="1100"/>
        </a:p>
        <a:p>
          <a:r>
            <a:rPr lang="ca-ES" sz="1100"/>
            <a:t>En la gráfica he puesto por separado</a:t>
          </a:r>
          <a:r>
            <a:rPr lang="ca-ES" sz="1100" baseline="0"/>
            <a:t> los incrementos en las facturas como consecuencia del reajuste en las facturas de septiembre a diciembre de 2012 (tanto del Ajuste de IVA como el Ajuste de Precios), según orden IET/843/2012. De esta manera no se altera la interpretación del resto de conceptos facturados y se aprecia claramente los efectos del reajuste: siendo destacable el incremento en el mes de noviembre. En los otros 3 mses (agosto, septiembre y octubre) el incremento es estable.</a:t>
          </a:r>
        </a:p>
        <a:p>
          <a:endParaRPr lang="ca-ES" sz="1100" baseline="0"/>
        </a:p>
        <a:p>
          <a:r>
            <a:rPr lang="ca-ES" sz="1100" b="1" baseline="0"/>
            <a:t>Término Energía</a:t>
          </a:r>
          <a:endParaRPr lang="ca-ES" sz="1100" b="1"/>
        </a:p>
        <a:p>
          <a:r>
            <a:rPr lang="ca-ES" sz="1100" baseline="0"/>
            <a:t>En los meses fríos del año hay un incremento importante del consumo eléctrico (casi el doble entre los meses de verano y enero/febrero). Este hecho probablemente sea consecuencia del uso de calefacción eléctrica. En los datos de las facturas no aparece en qué población se ubica el edificio, pero creo que es interesante tener en cuenta que el perido de los años  2010 a 2012 se sucedieron nevadas importantes en el país, por lo que es normal que el consumo de los meses de Diciembre, Enero y Febrero el consumo energético por calefacción aumentara considerablemente.</a:t>
          </a:r>
        </a:p>
        <a:p>
          <a:endParaRPr lang="ca-ES" sz="1100" b="1" baseline="0"/>
        </a:p>
        <a:p>
          <a:r>
            <a:rPr lang="ca-ES" sz="1100" b="1" baseline="0"/>
            <a:t>Potencia facturada</a:t>
          </a:r>
        </a:p>
        <a:p>
          <a:r>
            <a:rPr lang="ca-ES" sz="1100" baseline="0"/>
            <a:t>En cuanto a los importes facturados por potencia, se aprecia que es más o menos estable moviéndose entre valores que van del 335,78€ (del mes de febrero, segundo mes de mayor consumo energético) al 377,21€ (del mes de agosto, mes de menor consumo energético) una diferencia de 41,43€.</a:t>
          </a:r>
        </a:p>
        <a:p>
          <a:r>
            <a:rPr lang="ca-ES" sz="1100" baseline="0"/>
            <a:t>Detectamos que el importe facturado por potencia en los meses de enero y marzo es de 358,94€, cuando entre estos hay una diferencia de energía facturada de 919,34€ (2.419,69 - 1.500,35€). En lineas genrales se aprecia que el importe de la potencia facturada es más bajo en los meses de mayor consumo (meses de invierno) Aún i así creo que la influencia que tiene en el computo general de las facturas est´aestabilizado en todos los meses.</a:t>
          </a:r>
        </a:p>
        <a:p>
          <a:endParaRPr lang="ca-ES" sz="1100" baseline="0"/>
        </a:p>
        <a:p>
          <a:r>
            <a:rPr lang="ca-ES" sz="1100" b="1" baseline="0"/>
            <a:t>Impuesto electricidad</a:t>
          </a:r>
        </a:p>
        <a:p>
          <a:r>
            <a:rPr lang="ca-ES" sz="1100" b="0" baseline="0"/>
            <a:t>Es mas elevado en los meses de invierno, como es de esprera ya que son los meses de mayor consumo y facturas más elevadas debido al aumento del término de energía.</a:t>
          </a:r>
        </a:p>
        <a:p>
          <a:endParaRPr lang="ca-ES" sz="1100" b="0" baseline="0"/>
        </a:p>
        <a:p>
          <a:r>
            <a:rPr lang="ca-ES" sz="1100" b="1" baseline="0"/>
            <a:t>IVA</a:t>
          </a:r>
        </a:p>
        <a:p>
          <a:pPr marL="0" marR="0" lvl="0" indent="0" defTabSz="914400" eaLnBrk="1" fontAlgn="auto" latinLnBrk="0" hangingPunct="1">
            <a:lnSpc>
              <a:spcPct val="100000"/>
            </a:lnSpc>
            <a:spcBef>
              <a:spcPts val="0"/>
            </a:spcBef>
            <a:spcAft>
              <a:spcPts val="0"/>
            </a:spcAft>
            <a:buClrTx/>
            <a:buSzTx/>
            <a:buFontTx/>
            <a:buNone/>
            <a:tabLst/>
            <a:defRPr/>
          </a:pPr>
          <a:r>
            <a:rPr lang="ca-ES" sz="1100" baseline="0">
              <a:solidFill>
                <a:schemeClr val="dk1"/>
              </a:solidFill>
              <a:effectLst/>
              <a:latin typeface="+mn-lt"/>
              <a:ea typeface="+mn-ea"/>
              <a:cs typeface="+mn-cs"/>
            </a:rPr>
            <a:t>A partir de la columna del mes de agosto (ésta incluida) se produce el aumento de IVA (del 18% al 21%). Este aspecto se ve reflejado en la comparativa entre las columnas del mes de </a:t>
          </a:r>
          <a:r>
            <a:rPr lang="ca-ES" sz="1100" b="1" baseline="0">
              <a:solidFill>
                <a:schemeClr val="dk1"/>
              </a:solidFill>
              <a:effectLst/>
              <a:latin typeface="+mn-lt"/>
              <a:ea typeface="+mn-ea"/>
              <a:cs typeface="+mn-cs"/>
            </a:rPr>
            <a:t>abril</a:t>
          </a:r>
          <a:r>
            <a:rPr lang="ca-ES" sz="1100" baseline="0">
              <a:solidFill>
                <a:schemeClr val="dk1"/>
              </a:solidFill>
              <a:effectLst/>
              <a:latin typeface="+mn-lt"/>
              <a:ea typeface="+mn-ea"/>
              <a:cs typeface="+mn-cs"/>
            </a:rPr>
            <a:t> y </a:t>
          </a:r>
          <a:r>
            <a:rPr lang="ca-ES" sz="1100" b="1" baseline="0">
              <a:solidFill>
                <a:schemeClr val="dk1"/>
              </a:solidFill>
              <a:effectLst/>
              <a:latin typeface="+mn-lt"/>
              <a:ea typeface="+mn-ea"/>
              <a:cs typeface="+mn-cs"/>
            </a:rPr>
            <a:t>octubre</a:t>
          </a:r>
          <a:r>
            <a:rPr lang="ca-ES" sz="1100" baseline="0">
              <a:solidFill>
                <a:schemeClr val="dk1"/>
              </a:solidFill>
              <a:effectLst/>
              <a:latin typeface="+mn-lt"/>
              <a:ea typeface="+mn-ea"/>
              <a:cs typeface="+mn-cs"/>
            </a:rPr>
            <a:t>, en las cuales hay un consumo de energía similar (1.167,40 € y 1.153,31 € respectivamente), el importe por potencia es similar (365,04 € y 377,21 € respectivamente), pero en el tramo correspondiente al IVA se aprecia claramente el aumento de este impuesto en unos 47,90€ (337,84€ - 289,94€) aún y haber disminuido ligeramente el consumo en el mes de octubre respecto al de abril.</a:t>
          </a:r>
          <a:endParaRPr lang="ca-ES">
            <a:effectLst/>
          </a:endParaRPr>
        </a:p>
        <a:p>
          <a:endParaRPr lang="ca-ES" sz="1100" b="0" baseline="0"/>
        </a:p>
        <a:p>
          <a:endParaRPr lang="ca-ES" sz="1100" b="0" baseline="0"/>
        </a:p>
      </xdr:txBody>
    </xdr:sp>
    <xdr:clientData/>
  </xdr:twoCellAnchor>
  <xdr:twoCellAnchor editAs="oneCell">
    <xdr:from>
      <xdr:col>1</xdr:col>
      <xdr:colOff>0</xdr:colOff>
      <xdr:row>61</xdr:row>
      <xdr:rowOff>0</xdr:rowOff>
    </xdr:from>
    <xdr:to>
      <xdr:col>9</xdr:col>
      <xdr:colOff>329531</xdr:colOff>
      <xdr:row>71</xdr:row>
      <xdr:rowOff>174172</xdr:rowOff>
    </xdr:to>
    <xdr:pic>
      <xdr:nvPicPr>
        <xdr:cNvPr id="5" name="Imagen 4"/>
        <xdr:cNvPicPr>
          <a:picLocks noChangeAspect="1"/>
        </xdr:cNvPicPr>
      </xdr:nvPicPr>
      <xdr:blipFill>
        <a:blip xmlns:r="http://schemas.openxmlformats.org/officeDocument/2006/relationships" r:embed="rId3"/>
        <a:stretch>
          <a:fillRect/>
        </a:stretch>
      </xdr:blipFill>
      <xdr:spPr>
        <a:xfrm>
          <a:off x="609600" y="11702143"/>
          <a:ext cx="5502166" cy="2024743"/>
        </a:xfrm>
        <a:prstGeom prst="rect">
          <a:avLst/>
        </a:prstGeom>
      </xdr:spPr>
    </xdr:pic>
    <xdr:clientData/>
  </xdr:twoCellAnchor>
  <xdr:twoCellAnchor editAs="oneCell">
    <xdr:from>
      <xdr:col>0</xdr:col>
      <xdr:colOff>582706</xdr:colOff>
      <xdr:row>74</xdr:row>
      <xdr:rowOff>125506</xdr:rowOff>
    </xdr:from>
    <xdr:to>
      <xdr:col>6</xdr:col>
      <xdr:colOff>119477</xdr:colOff>
      <xdr:row>85</xdr:row>
      <xdr:rowOff>134223</xdr:rowOff>
    </xdr:to>
    <xdr:pic>
      <xdr:nvPicPr>
        <xdr:cNvPr id="6" name="Imagen 5"/>
        <xdr:cNvPicPr>
          <a:picLocks noChangeAspect="1"/>
        </xdr:cNvPicPr>
      </xdr:nvPicPr>
      <xdr:blipFill>
        <a:blip xmlns:r="http://schemas.openxmlformats.org/officeDocument/2006/relationships" r:embed="rId4"/>
        <a:stretch>
          <a:fillRect/>
        </a:stretch>
      </xdr:blipFill>
      <xdr:spPr>
        <a:xfrm>
          <a:off x="582706" y="13814612"/>
          <a:ext cx="3409524" cy="1980952"/>
        </a:xfrm>
        <a:prstGeom prst="rect">
          <a:avLst/>
        </a:prstGeom>
      </xdr:spPr>
    </xdr:pic>
    <xdr:clientData/>
  </xdr:twoCellAnchor>
  <xdr:twoCellAnchor>
    <xdr:from>
      <xdr:col>7</xdr:col>
      <xdr:colOff>0</xdr:colOff>
      <xdr:row>95</xdr:row>
      <xdr:rowOff>152400</xdr:rowOff>
    </xdr:from>
    <xdr:to>
      <xdr:col>17</xdr:col>
      <xdr:colOff>89648</xdr:colOff>
      <xdr:row>105</xdr:row>
      <xdr:rowOff>53788</xdr:rowOff>
    </xdr:to>
    <xdr:sp macro="" textlink="">
      <xdr:nvSpPr>
        <xdr:cNvPr id="7" name="CuadroTexto 6"/>
        <xdr:cNvSpPr txBox="1"/>
      </xdr:nvSpPr>
      <xdr:spPr>
        <a:xfrm>
          <a:off x="4356847" y="17624612"/>
          <a:ext cx="6355977" cy="16943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b="1"/>
            <a:t>CONCLUSIONES:</a:t>
          </a:r>
        </a:p>
        <a:p>
          <a:endParaRPr lang="ca-ES" sz="1100"/>
        </a:p>
        <a:p>
          <a:r>
            <a:rPr lang="ca-ES" sz="1100" baseline="0"/>
            <a:t>Con una potencia contratada de 40kW, el ahorro anual para este concepto sería del 55%.</a:t>
          </a:r>
          <a:endParaRPr lang="ca-ES" sz="1100"/>
        </a:p>
      </xdr:txBody>
    </xdr:sp>
    <xdr:clientData/>
  </xdr:twoCellAnchor>
  <xdr:twoCellAnchor editAs="oneCell">
    <xdr:from>
      <xdr:col>1</xdr:col>
      <xdr:colOff>1</xdr:colOff>
      <xdr:row>144</xdr:row>
      <xdr:rowOff>1</xdr:rowOff>
    </xdr:from>
    <xdr:to>
      <xdr:col>9</xdr:col>
      <xdr:colOff>510990</xdr:colOff>
      <xdr:row>167</xdr:row>
      <xdr:rowOff>10319</xdr:rowOff>
    </xdr:to>
    <xdr:pic>
      <xdr:nvPicPr>
        <xdr:cNvPr id="10" name="Imagen 9"/>
        <xdr:cNvPicPr>
          <a:picLocks noChangeAspect="1"/>
        </xdr:cNvPicPr>
      </xdr:nvPicPr>
      <xdr:blipFill>
        <a:blip xmlns:r="http://schemas.openxmlformats.org/officeDocument/2006/relationships" r:embed="rId5"/>
        <a:stretch>
          <a:fillRect/>
        </a:stretch>
      </xdr:blipFill>
      <xdr:spPr>
        <a:xfrm>
          <a:off x="609601" y="26347272"/>
          <a:ext cx="5683624" cy="4134082"/>
        </a:xfrm>
        <a:prstGeom prst="rect">
          <a:avLst/>
        </a:prstGeom>
      </xdr:spPr>
    </xdr:pic>
    <xdr:clientData/>
  </xdr:twoCellAnchor>
  <xdr:twoCellAnchor editAs="oneCell">
    <xdr:from>
      <xdr:col>9</xdr:col>
      <xdr:colOff>582706</xdr:colOff>
      <xdr:row>144</xdr:row>
      <xdr:rowOff>17929</xdr:rowOff>
    </xdr:from>
    <xdr:to>
      <xdr:col>22</xdr:col>
      <xdr:colOff>0</xdr:colOff>
      <xdr:row>166</xdr:row>
      <xdr:rowOff>168284</xdr:rowOff>
    </xdr:to>
    <xdr:pic>
      <xdr:nvPicPr>
        <xdr:cNvPr id="11" name="Imagen 10"/>
        <xdr:cNvPicPr>
          <a:picLocks noChangeAspect="1"/>
        </xdr:cNvPicPr>
      </xdr:nvPicPr>
      <xdr:blipFill>
        <a:blip xmlns:r="http://schemas.openxmlformats.org/officeDocument/2006/relationships" r:embed="rId6"/>
        <a:stretch>
          <a:fillRect/>
        </a:stretch>
      </xdr:blipFill>
      <xdr:spPr>
        <a:xfrm>
          <a:off x="6364941" y="26365200"/>
          <a:ext cx="8346141" cy="4094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225"/>
  <sheetViews>
    <sheetView tabSelected="1" topLeftCell="A10" zoomScale="85" zoomScaleNormal="85" workbookViewId="0">
      <selection activeCell="U32" sqref="U32"/>
    </sheetView>
  </sheetViews>
  <sheetFormatPr baseColWidth="10" defaultColWidth="8.88671875" defaultRowHeight="14.4" x14ac:dyDescent="0.3"/>
  <cols>
    <col min="4" max="4" width="10.21875" customWidth="1"/>
    <col min="5" max="5" width="10.33203125" bestFit="1" customWidth="1"/>
    <col min="6" max="9" width="9.21875" bestFit="1" customWidth="1"/>
    <col min="10" max="10" width="10.33203125" bestFit="1" customWidth="1"/>
    <col min="12" max="12" width="10.109375" customWidth="1"/>
    <col min="13" max="13" width="11.88671875" customWidth="1"/>
    <col min="14" max="14" width="11.33203125" customWidth="1"/>
    <col min="15" max="15" width="10.33203125" bestFit="1" customWidth="1"/>
    <col min="16" max="16" width="11.33203125" customWidth="1"/>
    <col min="18" max="18" width="10.109375" customWidth="1"/>
    <col min="21" max="21" width="10.33203125" customWidth="1"/>
  </cols>
  <sheetData>
    <row r="2" spans="2:23" ht="18.600000000000001" x14ac:dyDescent="0.3">
      <c r="B2" s="1" t="s">
        <v>0</v>
      </c>
    </row>
    <row r="3" spans="2:23" x14ac:dyDescent="0.3">
      <c r="B3" s="2" t="s">
        <v>4</v>
      </c>
    </row>
    <row r="4" spans="2:23" x14ac:dyDescent="0.3">
      <c r="B4" s="2" t="s">
        <v>5</v>
      </c>
    </row>
    <row r="5" spans="2:23" x14ac:dyDescent="0.3">
      <c r="B5" s="2" t="s">
        <v>6</v>
      </c>
    </row>
    <row r="6" spans="2:23" x14ac:dyDescent="0.3">
      <c r="B6" s="2"/>
    </row>
    <row r="7" spans="2:23" x14ac:dyDescent="0.3">
      <c r="B7" s="3" t="s">
        <v>7</v>
      </c>
    </row>
    <row r="8" spans="2:23" x14ac:dyDescent="0.3">
      <c r="B8" s="2"/>
    </row>
    <row r="9" spans="2:23" x14ac:dyDescent="0.3">
      <c r="B9" s="3" t="s">
        <v>1</v>
      </c>
    </row>
    <row r="10" spans="2:23" x14ac:dyDescent="0.3">
      <c r="B10" s="3" t="s">
        <v>2</v>
      </c>
    </row>
    <row r="11" spans="2:23" x14ac:dyDescent="0.3">
      <c r="B11" s="3" t="s">
        <v>3</v>
      </c>
    </row>
    <row r="14" spans="2:23" ht="21" x14ac:dyDescent="0.4">
      <c r="B14" s="22" t="s">
        <v>4</v>
      </c>
    </row>
    <row r="15" spans="2:23" x14ac:dyDescent="0.3">
      <c r="B15" s="4"/>
    </row>
    <row r="16" spans="2:23" x14ac:dyDescent="0.3">
      <c r="B16" t="s">
        <v>8</v>
      </c>
      <c r="W16" t="s">
        <v>33</v>
      </c>
    </row>
    <row r="17" spans="12:25" x14ac:dyDescent="0.3">
      <c r="L17" s="12" t="s">
        <v>23</v>
      </c>
      <c r="M17" s="12"/>
      <c r="N17" s="15" t="s">
        <v>27</v>
      </c>
      <c r="O17" s="15"/>
      <c r="P17" s="15"/>
      <c r="Q17" s="15"/>
      <c r="R17" s="15"/>
      <c r="S17" s="15"/>
      <c r="T17" s="15"/>
      <c r="U17" s="17" t="s">
        <v>28</v>
      </c>
    </row>
    <row r="18" spans="12:25" s="8" customFormat="1" ht="28.8" x14ac:dyDescent="0.3">
      <c r="L18" s="13" t="s">
        <v>10</v>
      </c>
      <c r="M18" s="13" t="s">
        <v>9</v>
      </c>
      <c r="N18" s="16" t="s">
        <v>24</v>
      </c>
      <c r="O18" s="16" t="s">
        <v>25</v>
      </c>
      <c r="P18" s="16" t="s">
        <v>32</v>
      </c>
      <c r="Q18" s="16" t="s">
        <v>26</v>
      </c>
      <c r="R18" s="16" t="s">
        <v>31</v>
      </c>
      <c r="S18" s="16" t="s">
        <v>29</v>
      </c>
      <c r="T18" s="16" t="s">
        <v>30</v>
      </c>
      <c r="U18" s="17"/>
      <c r="Y18" s="19"/>
    </row>
    <row r="19" spans="12:25" x14ac:dyDescent="0.3">
      <c r="L19" s="7">
        <v>2011</v>
      </c>
      <c r="M19" s="5" t="s">
        <v>11</v>
      </c>
      <c r="N19" s="6">
        <f>390.28+1260.89+292.8-116.64</f>
        <v>1827.33</v>
      </c>
      <c r="O19" s="6">
        <v>339.03</v>
      </c>
      <c r="P19" s="6">
        <v>110.76</v>
      </c>
      <c r="Q19" s="6">
        <v>409.88</v>
      </c>
      <c r="R19" s="6">
        <v>0</v>
      </c>
      <c r="S19" s="6">
        <v>0</v>
      </c>
      <c r="T19" s="6">
        <v>0</v>
      </c>
      <c r="U19" s="6">
        <f>SUM(N19:T19)</f>
        <v>2687</v>
      </c>
      <c r="Y19" s="20"/>
    </row>
    <row r="20" spans="12:25" x14ac:dyDescent="0.3">
      <c r="L20" s="7">
        <v>2012</v>
      </c>
      <c r="M20" s="5" t="s">
        <v>12</v>
      </c>
      <c r="N20" s="6">
        <f>417.88+1781.46+374.8-154.45</f>
        <v>2419.6900000000005</v>
      </c>
      <c r="O20" s="6">
        <v>358.94</v>
      </c>
      <c r="P20" s="6">
        <v>142.06</v>
      </c>
      <c r="Q20" s="6">
        <v>525.72</v>
      </c>
      <c r="R20" s="6">
        <v>0</v>
      </c>
      <c r="S20" s="6">
        <v>0</v>
      </c>
      <c r="T20" s="6">
        <v>0</v>
      </c>
      <c r="U20" s="6">
        <f t="shared" ref="U20:U29" si="0">SUM(N20:T20)</f>
        <v>3446.4100000000008</v>
      </c>
      <c r="Y20" s="20"/>
    </row>
    <row r="21" spans="12:25" x14ac:dyDescent="0.3">
      <c r="L21" s="7">
        <v>2012</v>
      </c>
      <c r="M21" s="5" t="s">
        <v>13</v>
      </c>
      <c r="N21" s="6">
        <f>398.49+1631.13+366.23-143.75</f>
        <v>2252.1000000000004</v>
      </c>
      <c r="O21" s="6">
        <v>335.78</v>
      </c>
      <c r="P21" s="6">
        <v>132.31</v>
      </c>
      <c r="Q21" s="6">
        <v>489.63</v>
      </c>
      <c r="R21" s="6">
        <v>0</v>
      </c>
      <c r="S21" s="6">
        <v>0</v>
      </c>
      <c r="T21" s="6">
        <v>0</v>
      </c>
      <c r="U21" s="6">
        <f t="shared" si="0"/>
        <v>3209.82</v>
      </c>
      <c r="Y21" s="20"/>
    </row>
    <row r="22" spans="12:25" x14ac:dyDescent="0.3">
      <c r="L22" s="7">
        <v>2012</v>
      </c>
      <c r="M22" s="5" t="s">
        <v>14</v>
      </c>
      <c r="N22" s="6">
        <f>343.5+976.58+276.04-95.77</f>
        <v>1500.35</v>
      </c>
      <c r="O22" s="6">
        <v>358.94</v>
      </c>
      <c r="P22" s="6">
        <v>95.06</v>
      </c>
      <c r="Q22" s="6">
        <v>351.78</v>
      </c>
      <c r="R22" s="6">
        <v>0</v>
      </c>
      <c r="S22" s="6">
        <v>0</v>
      </c>
      <c r="T22" s="6">
        <v>0</v>
      </c>
      <c r="U22" s="6">
        <f t="shared" si="0"/>
        <v>2306.13</v>
      </c>
      <c r="Y22" s="20"/>
    </row>
    <row r="23" spans="12:25" x14ac:dyDescent="0.3">
      <c r="L23" s="7">
        <v>2012</v>
      </c>
      <c r="M23" s="5" t="s">
        <v>15</v>
      </c>
      <c r="N23" s="6">
        <f>355.08+683.49+203.34-74.51</f>
        <v>1167.3999999999999</v>
      </c>
      <c r="O23" s="6">
        <v>365.04</v>
      </c>
      <c r="P23" s="6">
        <v>78.349999999999994</v>
      </c>
      <c r="Q23" s="6">
        <v>289.94</v>
      </c>
      <c r="R23" s="6">
        <v>0</v>
      </c>
      <c r="S23" s="6">
        <v>0</v>
      </c>
      <c r="T23" s="6">
        <v>0</v>
      </c>
      <c r="U23" s="6">
        <f t="shared" si="0"/>
        <v>1900.7299999999998</v>
      </c>
      <c r="Y23" s="20"/>
    </row>
    <row r="24" spans="12:25" x14ac:dyDescent="0.3">
      <c r="L24" s="7">
        <v>2012</v>
      </c>
      <c r="M24" s="5" t="s">
        <v>16</v>
      </c>
      <c r="N24" s="6">
        <f>329.58+654.86+186.89-70.28</f>
        <v>1101.05</v>
      </c>
      <c r="O24" s="6">
        <v>377.21</v>
      </c>
      <c r="P24" s="6">
        <v>75.58</v>
      </c>
      <c r="Q24" s="6">
        <v>279.69</v>
      </c>
      <c r="R24" s="6">
        <v>0</v>
      </c>
      <c r="S24" s="6">
        <v>0</v>
      </c>
      <c r="T24" s="6">
        <v>0</v>
      </c>
      <c r="U24" s="6">
        <f t="shared" si="0"/>
        <v>1833.53</v>
      </c>
      <c r="Y24" s="20"/>
    </row>
    <row r="25" spans="12:25" x14ac:dyDescent="0.3">
      <c r="L25" s="7">
        <v>2012</v>
      </c>
      <c r="M25" s="5" t="s">
        <v>17</v>
      </c>
      <c r="N25" s="6">
        <f>348.04+637.79+184.02-70.19</f>
        <v>1099.6599999999999</v>
      </c>
      <c r="O25" s="6">
        <v>365.04</v>
      </c>
      <c r="P25" s="6">
        <v>74.89</v>
      </c>
      <c r="Q25" s="6">
        <v>277.13</v>
      </c>
      <c r="R25" s="6">
        <v>0</v>
      </c>
      <c r="S25" s="6">
        <v>0</v>
      </c>
      <c r="T25" s="6">
        <v>0</v>
      </c>
      <c r="U25" s="6">
        <f t="shared" si="0"/>
        <v>1816.7199999999998</v>
      </c>
      <c r="Y25" s="20"/>
    </row>
    <row r="26" spans="12:25" x14ac:dyDescent="0.3">
      <c r="L26" s="7">
        <v>2012</v>
      </c>
      <c r="M26" s="5" t="s">
        <v>18</v>
      </c>
      <c r="N26" s="6">
        <f>310.49+610.25+183.41-66.25</f>
        <v>1037.9000000000001</v>
      </c>
      <c r="O26" s="6">
        <v>377.21</v>
      </c>
      <c r="P26" s="6">
        <v>72.349999999999994</v>
      </c>
      <c r="Q26" s="6">
        <v>267.74</v>
      </c>
      <c r="R26" s="6">
        <v>0</v>
      </c>
      <c r="S26" s="6">
        <v>0</v>
      </c>
      <c r="T26" s="6">
        <v>0</v>
      </c>
      <c r="U26" s="6">
        <f t="shared" si="0"/>
        <v>1755.2</v>
      </c>
      <c r="Y26" s="20"/>
    </row>
    <row r="27" spans="12:25" x14ac:dyDescent="0.3">
      <c r="L27" s="10">
        <v>2012</v>
      </c>
      <c r="M27" s="9" t="s">
        <v>19</v>
      </c>
      <c r="N27" s="11">
        <f>285.16+581.61+176.22-62.58</f>
        <v>980.41</v>
      </c>
      <c r="O27" s="11">
        <v>377.21</v>
      </c>
      <c r="P27" s="11">
        <v>73.41</v>
      </c>
      <c r="Q27" s="11">
        <v>299.68</v>
      </c>
      <c r="R27" s="11">
        <v>78.209999999999994</v>
      </c>
      <c r="S27" s="11">
        <v>14.8</v>
      </c>
      <c r="T27" s="11">
        <v>0</v>
      </c>
      <c r="U27" s="11">
        <f t="shared" si="0"/>
        <v>1823.72</v>
      </c>
      <c r="Y27" s="20"/>
    </row>
    <row r="28" spans="12:25" x14ac:dyDescent="0.3">
      <c r="L28" s="10">
        <v>2012</v>
      </c>
      <c r="M28" s="9" t="s">
        <v>20</v>
      </c>
      <c r="N28" s="11">
        <f>307.8+608.45+164.18-64.83</f>
        <v>1015.6</v>
      </c>
      <c r="O28" s="11">
        <v>365.04</v>
      </c>
      <c r="P28" s="11">
        <v>74.59</v>
      </c>
      <c r="Q28" s="11">
        <v>304.76</v>
      </c>
      <c r="R28" s="11">
        <v>78.209999999999994</v>
      </c>
      <c r="S28" s="11">
        <v>14.8</v>
      </c>
      <c r="T28" s="11">
        <v>0</v>
      </c>
      <c r="U28" s="11">
        <f t="shared" si="0"/>
        <v>1853</v>
      </c>
      <c r="Y28" s="20"/>
    </row>
    <row r="29" spans="12:25" x14ac:dyDescent="0.3">
      <c r="L29" s="10">
        <v>2012</v>
      </c>
      <c r="M29" s="9" t="s">
        <v>21</v>
      </c>
      <c r="N29" s="11">
        <f>332.95+726.07+167.91-73.62</f>
        <v>1153.31</v>
      </c>
      <c r="O29" s="11">
        <v>377.21</v>
      </c>
      <c r="P29" s="11">
        <v>82.25</v>
      </c>
      <c r="Q29" s="11">
        <v>337.84</v>
      </c>
      <c r="R29" s="11">
        <v>78.209999999999994</v>
      </c>
      <c r="S29" s="11">
        <v>14.8</v>
      </c>
      <c r="T29" s="11">
        <v>0</v>
      </c>
      <c r="U29" s="11">
        <f t="shared" si="0"/>
        <v>2043.62</v>
      </c>
      <c r="Y29" s="20"/>
    </row>
    <row r="30" spans="12:25" x14ac:dyDescent="0.3">
      <c r="L30" s="10">
        <v>2012</v>
      </c>
      <c r="M30" s="9" t="s">
        <v>22</v>
      </c>
      <c r="N30" s="11">
        <f>264.13+997.71+177.87-86.38</f>
        <v>1353.33</v>
      </c>
      <c r="O30" s="11">
        <v>365.04</v>
      </c>
      <c r="P30" s="11">
        <v>95.98</v>
      </c>
      <c r="Q30" s="11">
        <v>379.86</v>
      </c>
      <c r="R30" s="11">
        <v>156.41</v>
      </c>
      <c r="S30" s="11">
        <v>29.59</v>
      </c>
      <c r="T30" s="11">
        <v>2.4900000000000002</v>
      </c>
      <c r="U30" s="11">
        <f>SUM(N30:T30)</f>
        <v>2382.6999999999998</v>
      </c>
      <c r="Y30" s="20"/>
    </row>
    <row r="31" spans="12:25" x14ac:dyDescent="0.3">
      <c r="U31" s="57">
        <f>SUM(U19:U30)</f>
        <v>27058.58</v>
      </c>
      <c r="Y31" s="21"/>
    </row>
    <row r="33" spans="2:25" x14ac:dyDescent="0.3">
      <c r="B33" s="4"/>
    </row>
    <row r="45" spans="2:25" x14ac:dyDescent="0.3">
      <c r="Y45" s="6"/>
    </row>
    <row r="46" spans="2:25" x14ac:dyDescent="0.3">
      <c r="Y46" s="6"/>
    </row>
    <row r="59" spans="2:34" ht="21" x14ac:dyDescent="0.4">
      <c r="B59" s="22" t="s">
        <v>5</v>
      </c>
    </row>
    <row r="61" spans="2:34" x14ac:dyDescent="0.3">
      <c r="B61" t="s">
        <v>34</v>
      </c>
      <c r="L61" t="s">
        <v>43</v>
      </c>
      <c r="U61" t="s">
        <v>46</v>
      </c>
    </row>
    <row r="62" spans="2:34" x14ac:dyDescent="0.3">
      <c r="L62" s="12" t="s">
        <v>23</v>
      </c>
      <c r="M62" s="23"/>
      <c r="N62" s="14" t="s">
        <v>41</v>
      </c>
      <c r="O62" s="14"/>
      <c r="P62" s="14"/>
      <c r="Q62" s="14"/>
      <c r="R62" s="14"/>
      <c r="S62" s="14"/>
      <c r="U62" s="36" t="s">
        <v>47</v>
      </c>
      <c r="V62" s="37" t="s">
        <v>48</v>
      </c>
      <c r="W62" s="37"/>
      <c r="X62" s="38" t="s">
        <v>49</v>
      </c>
      <c r="Y62" s="38"/>
      <c r="Z62" s="38"/>
      <c r="AA62" s="38"/>
      <c r="AB62" s="42" t="s">
        <v>57</v>
      </c>
      <c r="AE62" s="43" t="s">
        <v>60</v>
      </c>
      <c r="AF62" s="44" t="s">
        <v>61</v>
      </c>
      <c r="AG62" s="43" t="s">
        <v>62</v>
      </c>
    </row>
    <row r="63" spans="2:34" ht="14.4" customHeight="1" x14ac:dyDescent="0.3">
      <c r="L63" s="13" t="s">
        <v>10</v>
      </c>
      <c r="M63" s="24" t="s">
        <v>9</v>
      </c>
      <c r="N63" s="25" t="s">
        <v>35</v>
      </c>
      <c r="O63" s="25" t="s">
        <v>36</v>
      </c>
      <c r="P63" s="25" t="s">
        <v>37</v>
      </c>
      <c r="Q63" s="25" t="s">
        <v>38</v>
      </c>
      <c r="R63" s="25" t="s">
        <v>39</v>
      </c>
      <c r="S63" s="25" t="s">
        <v>40</v>
      </c>
      <c r="U63" s="36" t="s">
        <v>50</v>
      </c>
      <c r="V63" s="39" t="s">
        <v>51</v>
      </c>
      <c r="W63" s="39"/>
      <c r="X63" s="38" t="s">
        <v>52</v>
      </c>
      <c r="Y63" s="38"/>
      <c r="Z63" s="38"/>
      <c r="AA63" s="38"/>
      <c r="AB63" s="42" t="s">
        <v>58</v>
      </c>
      <c r="AE63" s="53">
        <v>139</v>
      </c>
      <c r="AF63" s="53">
        <f>AE63*0.85</f>
        <v>118.14999999999999</v>
      </c>
      <c r="AG63" s="53">
        <f>AE63*1.05</f>
        <v>145.95000000000002</v>
      </c>
      <c r="AH63" t="s">
        <v>72</v>
      </c>
    </row>
    <row r="64" spans="2:34" ht="14.4" customHeight="1" x14ac:dyDescent="0.3">
      <c r="L64" s="7">
        <v>2011</v>
      </c>
      <c r="M64" s="5" t="s">
        <v>11</v>
      </c>
      <c r="N64" s="7">
        <v>67</v>
      </c>
      <c r="O64" s="7">
        <v>70</v>
      </c>
      <c r="P64" s="7">
        <v>36</v>
      </c>
      <c r="Q64" s="7">
        <v>16</v>
      </c>
      <c r="R64" s="7">
        <v>16</v>
      </c>
      <c r="S64" s="7">
        <v>19</v>
      </c>
      <c r="U64" s="36" t="s">
        <v>53</v>
      </c>
      <c r="V64" s="37" t="s">
        <v>54</v>
      </c>
      <c r="W64" s="37"/>
      <c r="X64" s="38" t="s">
        <v>55</v>
      </c>
      <c r="Y64" s="38"/>
      <c r="Z64" s="38"/>
      <c r="AA64" s="38"/>
      <c r="AB64" s="42" t="s">
        <v>59</v>
      </c>
      <c r="AE64" s="53">
        <v>70</v>
      </c>
      <c r="AF64" s="53">
        <f>AE64*0.85</f>
        <v>59.5</v>
      </c>
      <c r="AG64" s="53">
        <f>AE64*1.05</f>
        <v>73.5</v>
      </c>
      <c r="AH64" t="s">
        <v>73</v>
      </c>
    </row>
    <row r="65" spans="2:34" ht="14.4" customHeight="1" x14ac:dyDescent="0.3">
      <c r="L65" s="7">
        <v>2012</v>
      </c>
      <c r="M65" s="5" t="s">
        <v>12</v>
      </c>
      <c r="N65" s="7">
        <v>62</v>
      </c>
      <c r="O65" s="7">
        <v>77</v>
      </c>
      <c r="P65" s="7">
        <v>68</v>
      </c>
      <c r="Q65" s="7">
        <v>18</v>
      </c>
      <c r="R65" s="7">
        <v>20</v>
      </c>
      <c r="S65" s="7">
        <v>19</v>
      </c>
      <c r="AE65" s="53">
        <v>40</v>
      </c>
      <c r="AF65" s="53">
        <f>AE65*0.85</f>
        <v>34</v>
      </c>
      <c r="AG65" s="53">
        <f>AE65*1.05</f>
        <v>42</v>
      </c>
      <c r="AH65" t="s">
        <v>75</v>
      </c>
    </row>
    <row r="66" spans="2:34" x14ac:dyDescent="0.3">
      <c r="L66" s="7">
        <v>2012</v>
      </c>
      <c r="M66" s="5" t="s">
        <v>13</v>
      </c>
      <c r="N66" s="7">
        <v>48</v>
      </c>
      <c r="O66" s="7">
        <v>77</v>
      </c>
      <c r="P66" s="7">
        <v>70</v>
      </c>
      <c r="Q66" s="7">
        <v>23</v>
      </c>
      <c r="R66" s="7">
        <v>23</v>
      </c>
      <c r="S66" s="7">
        <v>21</v>
      </c>
      <c r="U66" s="42" t="s">
        <v>70</v>
      </c>
      <c r="AE66" s="54">
        <v>35</v>
      </c>
      <c r="AF66" s="53">
        <f>AE66*0.85</f>
        <v>29.75</v>
      </c>
      <c r="AG66" s="53">
        <f>AE66*1.05</f>
        <v>36.75</v>
      </c>
      <c r="AH66" t="s">
        <v>76</v>
      </c>
    </row>
    <row r="67" spans="2:34" x14ac:dyDescent="0.3">
      <c r="L67" s="7">
        <v>2012</v>
      </c>
      <c r="M67" s="5" t="s">
        <v>14</v>
      </c>
      <c r="N67" s="7">
        <v>36</v>
      </c>
      <c r="O67" s="7">
        <v>45</v>
      </c>
      <c r="P67" s="7">
        <v>38</v>
      </c>
      <c r="Q67" s="7">
        <v>13</v>
      </c>
      <c r="R67" s="7">
        <v>18</v>
      </c>
      <c r="S67" s="7">
        <v>17</v>
      </c>
      <c r="U67" s="41" t="s">
        <v>56</v>
      </c>
      <c r="V67" s="40"/>
      <c r="Z67" s="29" t="s">
        <v>65</v>
      </c>
      <c r="AA67" s="29"/>
      <c r="AB67" s="29"/>
      <c r="AD67" s="27" t="s">
        <v>66</v>
      </c>
      <c r="AE67" s="27"/>
      <c r="AF67" s="27"/>
    </row>
    <row r="68" spans="2:34" x14ac:dyDescent="0.3">
      <c r="L68" s="7">
        <v>2012</v>
      </c>
      <c r="M68" s="5" t="s">
        <v>15</v>
      </c>
      <c r="N68" s="7">
        <v>37</v>
      </c>
      <c r="O68" s="7">
        <v>37</v>
      </c>
      <c r="P68" s="7">
        <v>28</v>
      </c>
      <c r="Q68" s="7">
        <v>11</v>
      </c>
      <c r="R68" s="7">
        <v>13</v>
      </c>
      <c r="S68" s="7">
        <v>14</v>
      </c>
      <c r="U68" s="13" t="s">
        <v>10</v>
      </c>
      <c r="V68" s="13" t="s">
        <v>9</v>
      </c>
      <c r="W68" s="25" t="s">
        <v>35</v>
      </c>
      <c r="X68" s="25" t="s">
        <v>36</v>
      </c>
      <c r="Y68" s="25" t="s">
        <v>37</v>
      </c>
      <c r="Z68" s="46" t="s">
        <v>35</v>
      </c>
      <c r="AA68" s="46" t="s">
        <v>36</v>
      </c>
      <c r="AB68" s="46" t="s">
        <v>37</v>
      </c>
      <c r="AC68" s="50" t="s">
        <v>67</v>
      </c>
      <c r="AD68" s="28" t="s">
        <v>35</v>
      </c>
      <c r="AE68" s="28" t="s">
        <v>36</v>
      </c>
      <c r="AF68" s="28" t="s">
        <v>37</v>
      </c>
    </row>
    <row r="69" spans="2:34" x14ac:dyDescent="0.3">
      <c r="L69" s="7">
        <v>2012</v>
      </c>
      <c r="M69" s="5" t="s">
        <v>16</v>
      </c>
      <c r="N69" s="7">
        <v>30</v>
      </c>
      <c r="O69" s="7">
        <v>29</v>
      </c>
      <c r="P69" s="7">
        <v>21</v>
      </c>
      <c r="Q69" s="7">
        <v>6</v>
      </c>
      <c r="R69" s="7">
        <v>11</v>
      </c>
      <c r="S69" s="7">
        <v>8</v>
      </c>
      <c r="U69" s="7">
        <v>2011</v>
      </c>
      <c r="V69" s="5" t="s">
        <v>11</v>
      </c>
      <c r="W69" s="45" t="str">
        <f>IF(N79&lt;$AE$63,$U$62,IF(N79&gt;$AG$63,$U$64,$U$63))</f>
        <v>Caso 1</v>
      </c>
      <c r="X69" s="45" t="str">
        <f>IF(O79&lt;$AE$63,$U$62,IF(O79&gt;$AG$63,$U$64,$U$63))</f>
        <v>Caso 1</v>
      </c>
      <c r="Y69" s="45" t="str">
        <f>IF(P79&lt;$AE$63,$U$62,IF(P79&gt;$AG$63,$U$64,$U$63))</f>
        <v>Caso 1</v>
      </c>
      <c r="Z69" s="47">
        <f>IF(W69=$U$62,$AF$63,IF(W69=$U$63,N79,N79+2*(N79-$AG$63)))</f>
        <v>118.14999999999999</v>
      </c>
      <c r="AA69" s="47">
        <f>IF(X69=$U$62,$AF$63,IF(X69=$U$63,O79,O79+2*(O79-$AG$63)))</f>
        <v>118.14999999999999</v>
      </c>
      <c r="AB69" s="47">
        <f>IF(Y69=$U$62,$AF$63,IF(Y69=$U$63,P79,P79+2*(P79-$AG$63)))</f>
        <v>118.14999999999999</v>
      </c>
      <c r="AC69" s="7">
        <v>31</v>
      </c>
      <c r="AD69" s="6">
        <f>Z69*$AC69*$C$90</f>
        <v>408.70041162289994</v>
      </c>
      <c r="AE69" s="6">
        <f>AA69*$AC69*$C$91</f>
        <v>245.22023745084999</v>
      </c>
      <c r="AF69" s="6">
        <f>AB69*$AC69*$C$92</f>
        <v>163.48017417204997</v>
      </c>
    </row>
    <row r="70" spans="2:34" x14ac:dyDescent="0.3">
      <c r="L70" s="7">
        <v>2012</v>
      </c>
      <c r="M70" s="5" t="s">
        <v>17</v>
      </c>
      <c r="N70" s="7">
        <v>31</v>
      </c>
      <c r="O70" s="7">
        <v>35</v>
      </c>
      <c r="P70" s="7">
        <v>22</v>
      </c>
      <c r="Q70" s="7">
        <v>7</v>
      </c>
      <c r="R70" s="7">
        <v>11</v>
      </c>
      <c r="S70" s="7">
        <v>8</v>
      </c>
      <c r="U70" s="7">
        <v>2012</v>
      </c>
      <c r="V70" s="5" t="s">
        <v>12</v>
      </c>
      <c r="W70" s="45" t="str">
        <f>IF(N80&lt;$AE$63,$U$62,IF(N80&gt;$AG$63,$U$64,$U$63))</f>
        <v>Caso 1</v>
      </c>
      <c r="X70" s="45" t="str">
        <f>IF(O80&lt;$AE$63,$U$62,IF(O80&gt;$AG$63,$U$64,$U$63))</f>
        <v>Caso 1</v>
      </c>
      <c r="Y70" s="45" t="str">
        <f>IF(P80&lt;$AE$63,$U$62,IF(P80&gt;$AG$63,$U$64,$U$63))</f>
        <v>Caso 1</v>
      </c>
      <c r="Z70" s="47">
        <f>IF(W70=$U$62,$AF$63,IF(W70=$U$63,N80,N80+2*(N80-$AG$63)))</f>
        <v>118.14999999999999</v>
      </c>
      <c r="AA70" s="47">
        <f>IF(X70=$U$62,$AF$63,IF(X70=$U$63,O80,O80+2*(O80-$AG$63)))</f>
        <v>118.14999999999999</v>
      </c>
      <c r="AB70" s="47">
        <f>IF(Y70=$U$62,$AF$63,IF(Y70=$U$63,P80,P80+2*(P80-$AG$63)))</f>
        <v>118.14999999999999</v>
      </c>
      <c r="AC70" s="7">
        <v>31</v>
      </c>
      <c r="AD70" s="6">
        <f t="shared" ref="AD70:AD80" si="1">Z70*AC70*$C$90</f>
        <v>408.70041162289994</v>
      </c>
      <c r="AE70" s="6">
        <f>AA70*$AC70*$C$91</f>
        <v>245.22023745084999</v>
      </c>
      <c r="AF70" s="6">
        <f>AB70*$AC70*$C$92</f>
        <v>163.48017417204997</v>
      </c>
    </row>
    <row r="71" spans="2:34" x14ac:dyDescent="0.3">
      <c r="L71" s="7">
        <v>2012</v>
      </c>
      <c r="M71" s="5" t="s">
        <v>18</v>
      </c>
      <c r="N71" s="7">
        <v>25</v>
      </c>
      <c r="O71" s="7">
        <v>26</v>
      </c>
      <c r="P71" s="7">
        <v>21</v>
      </c>
      <c r="Q71" s="7">
        <v>11</v>
      </c>
      <c r="R71" s="7">
        <v>11</v>
      </c>
      <c r="S71" s="7">
        <v>12</v>
      </c>
      <c r="U71" s="7">
        <v>2012</v>
      </c>
      <c r="V71" s="5" t="s">
        <v>13</v>
      </c>
      <c r="W71" s="45" t="str">
        <f>IF(N81&lt;$AE$63,$U$62,IF(N81&gt;$AG$63,$U$64,$U$63))</f>
        <v>Caso 1</v>
      </c>
      <c r="X71" s="45" t="str">
        <f>IF(O81&lt;$AE$63,$U$62,IF(O81&gt;$AG$63,$U$64,$U$63))</f>
        <v>Caso 1</v>
      </c>
      <c r="Y71" s="45" t="str">
        <f>IF(P81&lt;$AE$63,$U$62,IF(P81&gt;$AG$63,$U$64,$U$63))</f>
        <v>Caso 1</v>
      </c>
      <c r="Z71" s="47">
        <f>IF(W71=$U$62,$AF$63,IF(W71=$U$63,N81,N81+2*(N81-$AG$63)))</f>
        <v>118.14999999999999</v>
      </c>
      <c r="AA71" s="47">
        <f>IF(X71=$U$62,$AF$63,IF(X71=$U$63,O81,O81+2*(O81-$AG$63)))</f>
        <v>118.14999999999999</v>
      </c>
      <c r="AB71" s="47">
        <f>IF(Y71=$U$62,$AF$63,IF(Y71=$U$63,P81,P81+2*(P81-$AG$63)))</f>
        <v>118.14999999999999</v>
      </c>
      <c r="AC71" s="7">
        <v>28</v>
      </c>
      <c r="AD71" s="6">
        <f t="shared" si="1"/>
        <v>369.14875888519998</v>
      </c>
      <c r="AE71" s="6">
        <f>AA71*$AC71*$C$91</f>
        <v>221.48924672980002</v>
      </c>
      <c r="AF71" s="6">
        <f>AB71*$AC71*$C$92</f>
        <v>147.65951215539999</v>
      </c>
    </row>
    <row r="72" spans="2:34" x14ac:dyDescent="0.3">
      <c r="L72" s="34">
        <v>2012</v>
      </c>
      <c r="M72" s="18" t="s">
        <v>19</v>
      </c>
      <c r="N72" s="34">
        <v>25</v>
      </c>
      <c r="O72" s="34">
        <v>28</v>
      </c>
      <c r="P72" s="34">
        <v>13</v>
      </c>
      <c r="Q72" s="34">
        <v>11</v>
      </c>
      <c r="R72" s="34">
        <v>12</v>
      </c>
      <c r="S72" s="34">
        <v>9</v>
      </c>
      <c r="T72" s="35"/>
      <c r="U72" s="7">
        <v>2012</v>
      </c>
      <c r="V72" s="5" t="s">
        <v>14</v>
      </c>
      <c r="W72" s="45" t="str">
        <f>IF(N82&lt;$AE$63,$U$62,IF(N82&gt;$AG$63,$U$64,$U$63))</f>
        <v>Caso 1</v>
      </c>
      <c r="X72" s="45" t="str">
        <f>IF(O82&lt;$AE$63,$U$62,IF(O82&gt;$AG$63,$U$64,$U$63))</f>
        <v>Caso 1</v>
      </c>
      <c r="Y72" s="45" t="str">
        <f>IF(P82&lt;$AE$63,$U$62,IF(P82&gt;$AG$63,$U$64,$U$63))</f>
        <v>Caso 1</v>
      </c>
      <c r="Z72" s="47">
        <f>IF(W72=$U$62,$AF$63,IF(W72=$U$63,N82,N82+2*(N82-$AG$63)))</f>
        <v>118.14999999999999</v>
      </c>
      <c r="AA72" s="47">
        <f>IF(X72=$U$62,$AF$63,IF(X72=$U$63,O82,O82+2*(O82-$AG$63)))</f>
        <v>118.14999999999999</v>
      </c>
      <c r="AB72" s="47">
        <f>IF(Y72=$U$62,$AF$63,IF(Y72=$U$63,P82,P82+2*(P82-$AG$63)))</f>
        <v>118.14999999999999</v>
      </c>
      <c r="AC72" s="7">
        <v>31</v>
      </c>
      <c r="AD72" s="6">
        <f t="shared" si="1"/>
        <v>408.70041162289994</v>
      </c>
      <c r="AE72" s="6">
        <f>AA72*$AC72*$C$91</f>
        <v>245.22023745084999</v>
      </c>
      <c r="AF72" s="6">
        <f>AB72*$AC72*$C$92</f>
        <v>163.48017417204997</v>
      </c>
    </row>
    <row r="73" spans="2:34" x14ac:dyDescent="0.3">
      <c r="L73" s="34">
        <v>2012</v>
      </c>
      <c r="M73" s="18" t="s">
        <v>20</v>
      </c>
      <c r="N73" s="34">
        <v>31</v>
      </c>
      <c r="O73" s="34">
        <v>32</v>
      </c>
      <c r="P73" s="34">
        <v>15</v>
      </c>
      <c r="Q73" s="34">
        <v>9</v>
      </c>
      <c r="R73" s="34">
        <v>8</v>
      </c>
      <c r="S73" s="34">
        <v>8</v>
      </c>
      <c r="T73" s="35"/>
      <c r="U73" s="7">
        <v>2012</v>
      </c>
      <c r="V73" s="5" t="s">
        <v>15</v>
      </c>
      <c r="W73" s="45" t="str">
        <f>IF(N83&lt;$AE$63,$U$62,IF(N83&gt;$AG$63,$U$64,$U$63))</f>
        <v>Caso 1</v>
      </c>
      <c r="X73" s="45" t="str">
        <f>IF(O83&lt;$AE$63,$U$62,IF(O83&gt;$AG$63,$U$64,$U$63))</f>
        <v>Caso 1</v>
      </c>
      <c r="Y73" s="45" t="str">
        <f>IF(P83&lt;$AE$63,$U$62,IF(P83&gt;$AG$63,$U$64,$U$63))</f>
        <v>Caso 1</v>
      </c>
      <c r="Z73" s="47">
        <f>IF(W73=$U$62,$AF$63,IF(W73=$U$63,N83,N83+2*(N83-$AG$63)))</f>
        <v>118.14999999999999</v>
      </c>
      <c r="AA73" s="47">
        <f>IF(X73=$U$62,$AF$63,IF(X73=$U$63,O83,O83+2*(O83-$AG$63)))</f>
        <v>118.14999999999999</v>
      </c>
      <c r="AB73" s="47">
        <f>IF(Y73=$U$62,$AF$63,IF(Y73=$U$63,P83,P83+2*(P83-$AG$63)))</f>
        <v>118.14999999999999</v>
      </c>
      <c r="AC73" s="7">
        <v>30</v>
      </c>
      <c r="AD73" s="6">
        <f t="shared" si="1"/>
        <v>395.51652737699993</v>
      </c>
      <c r="AE73" s="6">
        <f>AA73*$AC73*$C$91</f>
        <v>237.3099072105</v>
      </c>
      <c r="AF73" s="6">
        <f>AB73*$AC73*$C$92</f>
        <v>158.20662016649999</v>
      </c>
    </row>
    <row r="74" spans="2:34" x14ac:dyDescent="0.3">
      <c r="B74" t="s">
        <v>44</v>
      </c>
      <c r="D74">
        <v>139</v>
      </c>
      <c r="E74" t="s">
        <v>45</v>
      </c>
      <c r="L74" s="34">
        <v>2012</v>
      </c>
      <c r="M74" s="18" t="s">
        <v>21</v>
      </c>
      <c r="N74" s="34">
        <v>30</v>
      </c>
      <c r="O74" s="34">
        <v>36</v>
      </c>
      <c r="P74" s="34">
        <v>20</v>
      </c>
      <c r="Q74" s="34">
        <v>8</v>
      </c>
      <c r="R74" s="34">
        <v>10</v>
      </c>
      <c r="S74" s="34">
        <v>12</v>
      </c>
      <c r="T74" s="35"/>
      <c r="U74" s="7">
        <v>2012</v>
      </c>
      <c r="V74" s="5" t="s">
        <v>16</v>
      </c>
      <c r="W74" s="45" t="str">
        <f>IF(N84&lt;$AE$63,$U$62,IF(N84&gt;$AG$63,$U$64,$U$63))</f>
        <v>Caso 1</v>
      </c>
      <c r="X74" s="45" t="str">
        <f>IF(O84&lt;$AE$63,$U$62,IF(O84&gt;$AG$63,$U$64,$U$63))</f>
        <v>Caso 1</v>
      </c>
      <c r="Y74" s="45" t="str">
        <f>IF(P84&lt;$AE$63,$U$62,IF(P84&gt;$AG$63,$U$64,$U$63))</f>
        <v>Caso 1</v>
      </c>
      <c r="Z74" s="47">
        <f>IF(W74=$U$62,$AF$63,IF(W74=$U$63,N84,N84+2*(N84-$AG$63)))</f>
        <v>118.14999999999999</v>
      </c>
      <c r="AA74" s="47">
        <f>IF(X74=$U$62,$AF$63,IF(X74=$U$63,O84,O84+2*(O84-$AG$63)))</f>
        <v>118.14999999999999</v>
      </c>
      <c r="AB74" s="47">
        <f>IF(Y74=$U$62,$AF$63,IF(Y74=$U$63,P84,P84+2*(P84-$AG$63)))</f>
        <v>118.14999999999999</v>
      </c>
      <c r="AC74" s="7">
        <v>31</v>
      </c>
      <c r="AD74" s="6">
        <f t="shared" si="1"/>
        <v>408.70041162289994</v>
      </c>
      <c r="AE74" s="6">
        <f>AA74*$AC74*$C$91</f>
        <v>245.22023745084999</v>
      </c>
      <c r="AF74" s="6">
        <f>AB74*$AC74*$C$92</f>
        <v>163.48017417204997</v>
      </c>
    </row>
    <row r="75" spans="2:34" x14ac:dyDescent="0.3">
      <c r="L75" s="34">
        <v>2012</v>
      </c>
      <c r="M75" s="18" t="s">
        <v>22</v>
      </c>
      <c r="N75" s="34">
        <v>43</v>
      </c>
      <c r="O75" s="34">
        <v>47</v>
      </c>
      <c r="P75" s="34">
        <v>29</v>
      </c>
      <c r="Q75" s="34">
        <v>10</v>
      </c>
      <c r="R75" s="34">
        <v>11</v>
      </c>
      <c r="S75" s="34">
        <v>8</v>
      </c>
      <c r="T75" s="35"/>
      <c r="U75" s="7">
        <v>2012</v>
      </c>
      <c r="V75" s="5" t="s">
        <v>17</v>
      </c>
      <c r="W75" s="45" t="str">
        <f>IF(N85&lt;$AE$63,$U$62,IF(N85&gt;$AG$63,$U$64,$U$63))</f>
        <v>Caso 1</v>
      </c>
      <c r="X75" s="45" t="str">
        <f>IF(O85&lt;$AE$63,$U$62,IF(O85&gt;$AG$63,$U$64,$U$63))</f>
        <v>Caso 1</v>
      </c>
      <c r="Y75" s="45" t="str">
        <f>IF(P85&lt;$AE$63,$U$62,IF(P85&gt;$AG$63,$U$64,$U$63))</f>
        <v>Caso 1</v>
      </c>
      <c r="Z75" s="47">
        <f>IF(W75=$U$62,$AF$63,IF(W75=$U$63,N85,N85+2*(N85-$AG$63)))</f>
        <v>118.14999999999999</v>
      </c>
      <c r="AA75" s="47">
        <f>IF(X75=$U$62,$AF$63,IF(X75=$U$63,O85,O85+2*(O85-$AG$63)))</f>
        <v>118.14999999999999</v>
      </c>
      <c r="AB75" s="47">
        <f>IF(Y75=$U$62,$AF$63,IF(Y75=$U$63,P85,P85+2*(P85-$AG$63)))</f>
        <v>118.14999999999999</v>
      </c>
      <c r="AC75" s="7">
        <v>30</v>
      </c>
      <c r="AD75" s="6">
        <f t="shared" si="1"/>
        <v>395.51652737699993</v>
      </c>
      <c r="AE75" s="6">
        <f>AA75*$AC75*$C$91</f>
        <v>237.3099072105</v>
      </c>
      <c r="AF75" s="6">
        <f>AB75*$AC75*$C$92</f>
        <v>158.20662016649999</v>
      </c>
    </row>
    <row r="76" spans="2:34" x14ac:dyDescent="0.3">
      <c r="U76" s="7">
        <v>2012</v>
      </c>
      <c r="V76" s="5" t="s">
        <v>18</v>
      </c>
      <c r="W76" s="45" t="str">
        <f>IF(N86&lt;$AE$63,$U$62,IF(N86&gt;$AG$63,$U$64,$U$63))</f>
        <v>Caso 1</v>
      </c>
      <c r="X76" s="45" t="str">
        <f>IF(O86&lt;$AE$63,$U$62,IF(O86&gt;$AG$63,$U$64,$U$63))</f>
        <v>Caso 1</v>
      </c>
      <c r="Y76" s="45" t="str">
        <f>IF(P86&lt;$AE$63,$U$62,IF(P86&gt;$AG$63,$U$64,$U$63))</f>
        <v>Caso 1</v>
      </c>
      <c r="Z76" s="47">
        <f>IF(W76=$U$62,$AF$63,IF(W76=$U$63,N86,N86+2*(N86-$AG$63)))</f>
        <v>118.14999999999999</v>
      </c>
      <c r="AA76" s="47">
        <f>IF(X76=$U$62,$AF$63,IF(X76=$U$63,O86,O86+2*(O86-$AG$63)))</f>
        <v>118.14999999999999</v>
      </c>
      <c r="AB76" s="47">
        <f>IF(Y76=$U$62,$AF$63,IF(Y76=$U$63,P86,P86+2*(P86-$AG$63)))</f>
        <v>118.14999999999999</v>
      </c>
      <c r="AC76" s="7">
        <v>31</v>
      </c>
      <c r="AD76" s="6">
        <f t="shared" si="1"/>
        <v>408.70041162289994</v>
      </c>
      <c r="AE76" s="6">
        <f>AA76*$AC76*$C$91</f>
        <v>245.22023745084999</v>
      </c>
      <c r="AF76" s="6">
        <f>AB76*$AC76*$C$92</f>
        <v>163.48017417204997</v>
      </c>
    </row>
    <row r="77" spans="2:34" x14ac:dyDescent="0.3">
      <c r="L77" s="12" t="s">
        <v>23</v>
      </c>
      <c r="M77" s="23"/>
      <c r="N77" s="30" t="s">
        <v>42</v>
      </c>
      <c r="O77" s="31"/>
      <c r="P77" s="31"/>
      <c r="U77" s="34">
        <v>2012</v>
      </c>
      <c r="V77" s="18" t="s">
        <v>19</v>
      </c>
      <c r="W77" s="45" t="str">
        <f>IF(N87&lt;$AE$63,$U$62,IF(N87&gt;$AG$63,$U$64,$U$63))</f>
        <v>Caso 1</v>
      </c>
      <c r="X77" s="45" t="str">
        <f>IF(O87&lt;$AE$63,$U$62,IF(O87&gt;$AG$63,$U$64,$U$63))</f>
        <v>Caso 1</v>
      </c>
      <c r="Y77" s="45" t="str">
        <f>IF(P87&lt;$AE$63,$U$62,IF(P87&gt;$AG$63,$U$64,$U$63))</f>
        <v>Caso 1</v>
      </c>
      <c r="Z77" s="47">
        <f>IF(W77=$U$62,$AF$63,IF(W77=$U$63,N87,N87+2*(N87-$AG$63)))</f>
        <v>118.14999999999999</v>
      </c>
      <c r="AA77" s="47">
        <f>IF(X77=$U$62,$AF$63,IF(X77=$U$63,O87,O87+2*(O87-$AG$63)))</f>
        <v>118.14999999999999</v>
      </c>
      <c r="AB77" s="47">
        <f>IF(Y77=$U$62,$AF$63,IF(Y77=$U$63,P87,P87+2*(P87-$AG$63)))</f>
        <v>118.14999999999999</v>
      </c>
      <c r="AC77" s="7">
        <v>31</v>
      </c>
      <c r="AD77" s="6">
        <f t="shared" si="1"/>
        <v>408.70041162289994</v>
      </c>
      <c r="AE77" s="6">
        <f>AA77*$AC77*$C$91</f>
        <v>245.22023745084999</v>
      </c>
      <c r="AF77" s="6">
        <f>AB77*$AC77*$C$92</f>
        <v>163.48017417204997</v>
      </c>
    </row>
    <row r="78" spans="2:34" x14ac:dyDescent="0.3">
      <c r="L78" s="13" t="s">
        <v>10</v>
      </c>
      <c r="M78" s="24" t="s">
        <v>9</v>
      </c>
      <c r="N78" s="32" t="s">
        <v>35</v>
      </c>
      <c r="O78" s="32" t="s">
        <v>36</v>
      </c>
      <c r="P78" s="32" t="s">
        <v>37</v>
      </c>
      <c r="U78" s="34">
        <v>2012</v>
      </c>
      <c r="V78" s="18" t="s">
        <v>20</v>
      </c>
      <c r="W78" s="45" t="str">
        <f>IF(N88&lt;$AE$63,$U$62,IF(N88&gt;$AG$63,$U$64,$U$63))</f>
        <v>Caso 1</v>
      </c>
      <c r="X78" s="45" t="str">
        <f>IF(O88&lt;$AE$63,$U$62,IF(O88&gt;$AG$63,$U$64,$U$63))</f>
        <v>Caso 1</v>
      </c>
      <c r="Y78" s="45" t="str">
        <f>IF(P88&lt;$AE$63,$U$62,IF(P88&gt;$AG$63,$U$64,$U$63))</f>
        <v>Caso 1</v>
      </c>
      <c r="Z78" s="47">
        <f>IF(W78=$U$62,$AF$63,IF(W78=$U$63,N88,N88+2*(N88-$AG$63)))</f>
        <v>118.14999999999999</v>
      </c>
      <c r="AA78" s="47">
        <f>IF(X78=$U$62,$AF$63,IF(X78=$U$63,O88,O88+2*(O88-$AG$63)))</f>
        <v>118.14999999999999</v>
      </c>
      <c r="AB78" s="47">
        <f>IF(Y78=$U$62,$AF$63,IF(Y78=$U$63,P88,P88+2*(P88-$AG$63)))</f>
        <v>118.14999999999999</v>
      </c>
      <c r="AC78" s="7">
        <v>30</v>
      </c>
      <c r="AD78" s="6">
        <f t="shared" si="1"/>
        <v>395.51652737699993</v>
      </c>
      <c r="AE78" s="6">
        <f>AA78*$AC78*$C$91</f>
        <v>237.3099072105</v>
      </c>
      <c r="AF78" s="6">
        <f>AB78*$AC78*$C$92</f>
        <v>158.20662016649999</v>
      </c>
    </row>
    <row r="79" spans="2:34" x14ac:dyDescent="0.3">
      <c r="L79" s="7">
        <v>2011</v>
      </c>
      <c r="M79" s="5" t="s">
        <v>11</v>
      </c>
      <c r="N79" s="7">
        <f>MAX(N64,Q64)</f>
        <v>67</v>
      </c>
      <c r="O79" s="7">
        <f>MAX(O64,R64)</f>
        <v>70</v>
      </c>
      <c r="P79" s="7">
        <f>MAX(P64,S64)</f>
        <v>36</v>
      </c>
      <c r="U79" s="34">
        <v>2012</v>
      </c>
      <c r="V79" s="18" t="s">
        <v>21</v>
      </c>
      <c r="W79" s="45" t="str">
        <f>IF(N89&lt;$AE$63,$U$62,IF(N89&gt;$AG$63,$U$64,$U$63))</f>
        <v>Caso 1</v>
      </c>
      <c r="X79" s="45" t="str">
        <f>IF(O89&lt;$AE$63,$U$62,IF(O89&gt;$AG$63,$U$64,$U$63))</f>
        <v>Caso 1</v>
      </c>
      <c r="Y79" s="45" t="str">
        <f>IF(P89&lt;$AE$63,$U$62,IF(P89&gt;$AG$63,$U$64,$U$63))</f>
        <v>Caso 1</v>
      </c>
      <c r="Z79" s="47">
        <f>IF(W79=$U$62,$AF$63,IF(W79=$U$63,N89,N89+2*(N89-$AG$63)))</f>
        <v>118.14999999999999</v>
      </c>
      <c r="AA79" s="47">
        <f>IF(X79=$U$62,$AF$63,IF(X79=$U$63,O89,O89+2*(O89-$AG$63)))</f>
        <v>118.14999999999999</v>
      </c>
      <c r="AB79" s="47">
        <f>IF(Y79=$U$62,$AF$63,IF(Y79=$U$63,P89,P89+2*(P89-$AG$63)))</f>
        <v>118.14999999999999</v>
      </c>
      <c r="AC79" s="7">
        <v>31</v>
      </c>
      <c r="AD79" s="6">
        <f t="shared" si="1"/>
        <v>408.70041162289994</v>
      </c>
      <c r="AE79" s="6">
        <f>AA79*$AC79*$C$91</f>
        <v>245.22023745084999</v>
      </c>
      <c r="AF79" s="6">
        <f>AB79*$AC79*$C$92</f>
        <v>163.48017417204997</v>
      </c>
    </row>
    <row r="80" spans="2:34" x14ac:dyDescent="0.3">
      <c r="L80" s="7">
        <v>2012</v>
      </c>
      <c r="M80" s="5" t="s">
        <v>12</v>
      </c>
      <c r="N80" s="7">
        <f>MAX(N65,Q65)</f>
        <v>62</v>
      </c>
      <c r="O80" s="7">
        <f>MAX(O65,R65)</f>
        <v>77</v>
      </c>
      <c r="P80" s="7">
        <f>MAX(P65,S65)</f>
        <v>68</v>
      </c>
      <c r="U80" s="34">
        <v>2012</v>
      </c>
      <c r="V80" s="18" t="s">
        <v>22</v>
      </c>
      <c r="W80" s="45" t="str">
        <f>IF(N90&lt;$AE$63,$U$62,IF(N90&gt;$AG$63,$U$64,$U$63))</f>
        <v>Caso 1</v>
      </c>
      <c r="X80" s="45" t="str">
        <f>IF(O90&lt;$AE$63,$U$62,IF(O90&gt;$AG$63,$U$64,$U$63))</f>
        <v>Caso 1</v>
      </c>
      <c r="Y80" s="45" t="str">
        <f>IF(P90&lt;$AE$63,$U$62,IF(P90&gt;$AG$63,$U$64,$U$63))</f>
        <v>Caso 1</v>
      </c>
      <c r="Z80" s="47">
        <f>IF(W80=$U$62,$AF$63,IF(W80=$U$63,N90,N90+2*(N90-$AG$63)))</f>
        <v>118.14999999999999</v>
      </c>
      <c r="AA80" s="47">
        <f>IF(X80=$U$62,$AF$63,IF(X80=$U$63,O90,O90+2*(O90-$AG$63)))</f>
        <v>118.14999999999999</v>
      </c>
      <c r="AB80" s="47">
        <f>IF(Y80=$U$62,$AF$63,IF(Y80=$U$63,P90,P90+2*(P90-$AG$63)))</f>
        <v>118.14999999999999</v>
      </c>
      <c r="AC80" s="7">
        <v>30</v>
      </c>
      <c r="AD80" s="51">
        <f t="shared" si="1"/>
        <v>395.51652737699993</v>
      </c>
      <c r="AE80" s="51">
        <f>AA80*$AC80*$C$91</f>
        <v>237.3099072105</v>
      </c>
      <c r="AF80" s="51">
        <f>AB80*$AC80*$C$92</f>
        <v>158.20662016649999</v>
      </c>
    </row>
    <row r="81" spans="2:32" x14ac:dyDescent="0.3">
      <c r="L81" s="7">
        <v>2012</v>
      </c>
      <c r="M81" s="5" t="s">
        <v>13</v>
      </c>
      <c r="N81" s="7">
        <f>MAX(N66,Q66)</f>
        <v>48</v>
      </c>
      <c r="O81" s="7">
        <f>MAX(O66,R66)</f>
        <v>77</v>
      </c>
      <c r="P81" s="7">
        <f>MAX(P66,S66)</f>
        <v>70</v>
      </c>
      <c r="AC81" t="s">
        <v>68</v>
      </c>
      <c r="AD81" s="52">
        <f>SUM(AD69:AD80)</f>
        <v>4812.1177497534991</v>
      </c>
      <c r="AE81" s="52">
        <f t="shared" ref="AE81:AF81" si="2">SUM(AE69:AE80)</f>
        <v>2887.2705377277503</v>
      </c>
      <c r="AF81" s="52">
        <f t="shared" si="2"/>
        <v>1924.84721202575</v>
      </c>
    </row>
    <row r="82" spans="2:32" x14ac:dyDescent="0.3">
      <c r="L82" s="7">
        <v>2012</v>
      </c>
      <c r="M82" s="5" t="s">
        <v>14</v>
      </c>
      <c r="N82" s="7">
        <f>MAX(N67,Q67)</f>
        <v>36</v>
      </c>
      <c r="O82" s="7">
        <f>MAX(O67,R67)</f>
        <v>45</v>
      </c>
      <c r="P82" s="7">
        <f>MAX(P67,S67)</f>
        <v>38</v>
      </c>
      <c r="AC82" t="s">
        <v>69</v>
      </c>
      <c r="AD82" s="6">
        <f>SUM(AD81:AF81)</f>
        <v>9624.235499507</v>
      </c>
    </row>
    <row r="83" spans="2:32" x14ac:dyDescent="0.3">
      <c r="L83" s="7">
        <v>2012</v>
      </c>
      <c r="M83" s="5" t="s">
        <v>15</v>
      </c>
      <c r="N83" s="7">
        <f>MAX(N68,Q68)</f>
        <v>37</v>
      </c>
      <c r="O83" s="7">
        <f>MAX(O68,R68)</f>
        <v>37</v>
      </c>
      <c r="P83" s="7">
        <f>MAX(P68,S68)</f>
        <v>28</v>
      </c>
    </row>
    <row r="84" spans="2:32" x14ac:dyDescent="0.3">
      <c r="L84" s="7">
        <v>2012</v>
      </c>
      <c r="M84" s="5" t="s">
        <v>16</v>
      </c>
      <c r="N84" s="7">
        <f>MAX(N69,Q69)</f>
        <v>30</v>
      </c>
      <c r="O84" s="7">
        <f>MAX(O69,R69)</f>
        <v>29</v>
      </c>
      <c r="P84" s="7">
        <f>MAX(P69,S69)</f>
        <v>21</v>
      </c>
      <c r="U84" t="s">
        <v>71</v>
      </c>
    </row>
    <row r="85" spans="2:32" x14ac:dyDescent="0.3">
      <c r="L85" s="7">
        <v>2012</v>
      </c>
      <c r="M85" s="5" t="s">
        <v>17</v>
      </c>
      <c r="N85" s="7">
        <f>MAX(N70,Q70)</f>
        <v>31</v>
      </c>
      <c r="O85" s="7">
        <f>MAX(O70,R70)</f>
        <v>35</v>
      </c>
      <c r="P85" s="7">
        <f>MAX(P70,S70)</f>
        <v>22</v>
      </c>
      <c r="U85" s="41" t="s">
        <v>56</v>
      </c>
      <c r="V85" s="40"/>
      <c r="Z85" s="29" t="s">
        <v>65</v>
      </c>
      <c r="AA85" s="29"/>
      <c r="AB85" s="29"/>
      <c r="AD85" s="27" t="s">
        <v>66</v>
      </c>
      <c r="AE85" s="27"/>
      <c r="AF85" s="27"/>
    </row>
    <row r="86" spans="2:32" x14ac:dyDescent="0.3">
      <c r="L86" s="7">
        <v>2012</v>
      </c>
      <c r="M86" s="5" t="s">
        <v>18</v>
      </c>
      <c r="N86" s="7">
        <f>MAX(N71,Q71)</f>
        <v>25</v>
      </c>
      <c r="O86" s="7">
        <f>MAX(O71,R71)</f>
        <v>26</v>
      </c>
      <c r="P86" s="7">
        <f>MAX(P71,S71)</f>
        <v>21</v>
      </c>
      <c r="U86" s="13" t="s">
        <v>10</v>
      </c>
      <c r="V86" s="13" t="s">
        <v>9</v>
      </c>
      <c r="W86" s="25" t="s">
        <v>35</v>
      </c>
      <c r="X86" s="25" t="s">
        <v>36</v>
      </c>
      <c r="Y86" s="25" t="s">
        <v>37</v>
      </c>
      <c r="Z86" s="46" t="s">
        <v>35</v>
      </c>
      <c r="AA86" s="46" t="s">
        <v>36</v>
      </c>
      <c r="AB86" s="46" t="s">
        <v>37</v>
      </c>
      <c r="AC86" s="50" t="s">
        <v>67</v>
      </c>
      <c r="AD86" s="28" t="s">
        <v>35</v>
      </c>
      <c r="AE86" s="28" t="s">
        <v>36</v>
      </c>
      <c r="AF86" s="28" t="s">
        <v>37</v>
      </c>
    </row>
    <row r="87" spans="2:32" x14ac:dyDescent="0.3">
      <c r="L87" s="34">
        <v>2012</v>
      </c>
      <c r="M87" s="18" t="s">
        <v>19</v>
      </c>
      <c r="N87" s="34">
        <f>MAX(N72,Q72)</f>
        <v>25</v>
      </c>
      <c r="O87" s="34">
        <f>MAX(O72,R72)</f>
        <v>28</v>
      </c>
      <c r="P87" s="34">
        <f>MAX(P72,S72)</f>
        <v>13</v>
      </c>
      <c r="U87" s="7">
        <v>2011</v>
      </c>
      <c r="V87" s="5" t="s">
        <v>11</v>
      </c>
      <c r="W87" s="45" t="str">
        <f>IF(N79&lt;$AE$64,$U$62,IF(N79&gt;$AG$64,$U$64,$U$63))</f>
        <v>Caso 1</v>
      </c>
      <c r="X87" s="45" t="str">
        <f t="shared" ref="X87:Y98" si="3">IF(O79&lt;$AE$64,$U$62,IF(O79&gt;$AG$64,$U$64,$U$63))</f>
        <v>Caso 2</v>
      </c>
      <c r="Y87" s="45" t="str">
        <f t="shared" si="3"/>
        <v>Caso 1</v>
      </c>
      <c r="Z87" s="47">
        <f>IF(W87=$U$62,$AF$64,IF(W87=$U$63,N79,N79+2*(N79-$AG$64)))</f>
        <v>59.5</v>
      </c>
      <c r="AA87" s="47">
        <f t="shared" ref="AA87:AB98" si="4">IF(X87=$U$62,$AF$64,IF(X87=$U$63,O79,O79+2*(O79-$AG$64)))</f>
        <v>70</v>
      </c>
      <c r="AB87" s="47">
        <f t="shared" si="4"/>
        <v>59.5</v>
      </c>
      <c r="AC87" s="7">
        <v>31</v>
      </c>
      <c r="AD87" s="6">
        <f>Z87*$AC87*$C$90</f>
        <v>205.82035117699999</v>
      </c>
      <c r="AE87" s="6">
        <f>AA87*$AC87*$C$91</f>
        <v>145.28494813</v>
      </c>
      <c r="AF87" s="6">
        <f>AB87*$AC87*$C$92</f>
        <v>82.328145266500002</v>
      </c>
    </row>
    <row r="88" spans="2:32" ht="15.6" x14ac:dyDescent="0.3">
      <c r="B88" s="48" t="s">
        <v>63</v>
      </c>
      <c r="L88" s="34">
        <v>2012</v>
      </c>
      <c r="M88" s="18" t="s">
        <v>20</v>
      </c>
      <c r="N88" s="34">
        <f>MAX(N73,Q73)</f>
        <v>31</v>
      </c>
      <c r="O88" s="34">
        <f>MAX(O73,R73)</f>
        <v>32</v>
      </c>
      <c r="P88" s="34">
        <f>MAX(P73,S73)</f>
        <v>15</v>
      </c>
      <c r="U88" s="7">
        <v>2012</v>
      </c>
      <c r="V88" s="5" t="s">
        <v>12</v>
      </c>
      <c r="W88" s="45" t="str">
        <f t="shared" ref="W88:W98" si="5">IF(N80&lt;$AE$64,$U$62,IF(N80&gt;$AG$64,$U$64,$U$63))</f>
        <v>Caso 1</v>
      </c>
      <c r="X88" s="45" t="str">
        <f t="shared" si="3"/>
        <v>Caso 3</v>
      </c>
      <c r="Y88" s="45" t="str">
        <f t="shared" si="3"/>
        <v>Caso 1</v>
      </c>
      <c r="Z88" s="47">
        <f t="shared" ref="Z88:Z98" si="6">IF(W88=$U$62,$AF$64,IF(W88=$U$63,N80,N80+2*(N80-$AG$64)))</f>
        <v>59.5</v>
      </c>
      <c r="AA88" s="47">
        <f t="shared" si="4"/>
        <v>84</v>
      </c>
      <c r="AB88" s="47">
        <f t="shared" si="4"/>
        <v>59.5</v>
      </c>
      <c r="AC88" s="7">
        <v>31</v>
      </c>
      <c r="AD88" s="6">
        <f t="shared" ref="AD88:AD98" si="7">Z88*AC88*$C$90</f>
        <v>205.82035117699999</v>
      </c>
      <c r="AE88" s="6">
        <f>AA88*$AC88*$C$91</f>
        <v>174.34193775600002</v>
      </c>
      <c r="AF88" s="6">
        <f>AB88*$AC88*$C$92</f>
        <v>82.328145266500002</v>
      </c>
    </row>
    <row r="89" spans="2:32" x14ac:dyDescent="0.3">
      <c r="L89" s="34">
        <v>2012</v>
      </c>
      <c r="M89" s="18" t="s">
        <v>21</v>
      </c>
      <c r="N89" s="34">
        <f>MAX(N74,Q74)</f>
        <v>30</v>
      </c>
      <c r="O89" s="34">
        <f>MAX(O74,R74)</f>
        <v>36</v>
      </c>
      <c r="P89" s="34">
        <f>MAX(P74,S74)</f>
        <v>20</v>
      </c>
      <c r="U89" s="7">
        <v>2012</v>
      </c>
      <c r="V89" s="5" t="s">
        <v>13</v>
      </c>
      <c r="W89" s="45" t="str">
        <f t="shared" si="5"/>
        <v>Caso 1</v>
      </c>
      <c r="X89" s="45" t="str">
        <f t="shared" si="3"/>
        <v>Caso 3</v>
      </c>
      <c r="Y89" s="45" t="str">
        <f t="shared" si="3"/>
        <v>Caso 2</v>
      </c>
      <c r="Z89" s="47">
        <f t="shared" si="6"/>
        <v>59.5</v>
      </c>
      <c r="AA89" s="47">
        <f t="shared" si="4"/>
        <v>84</v>
      </c>
      <c r="AB89" s="47">
        <f t="shared" si="4"/>
        <v>70</v>
      </c>
      <c r="AC89" s="7">
        <v>28</v>
      </c>
      <c r="AD89" s="6">
        <f t="shared" si="7"/>
        <v>185.90225267599999</v>
      </c>
      <c r="AE89" s="6">
        <f>AA89*$AC89*$C$91</f>
        <v>157.47013732800002</v>
      </c>
      <c r="AF89" s="6">
        <f>AB89*$AC89*$C$92</f>
        <v>87.483418119999996</v>
      </c>
    </row>
    <row r="90" spans="2:32" x14ac:dyDescent="0.3">
      <c r="B90" t="s">
        <v>35</v>
      </c>
      <c r="C90" s="49">
        <v>0.111585986</v>
      </c>
      <c r="D90" s="49"/>
      <c r="E90" t="s">
        <v>64</v>
      </c>
      <c r="L90" s="34">
        <v>2012</v>
      </c>
      <c r="M90" s="18" t="s">
        <v>22</v>
      </c>
      <c r="N90" s="34">
        <f>MAX(N75,Q75)</f>
        <v>43</v>
      </c>
      <c r="O90" s="34">
        <f>MAX(O75,R75)</f>
        <v>47</v>
      </c>
      <c r="P90" s="34">
        <f>MAX(P75,S75)</f>
        <v>29</v>
      </c>
      <c r="U90" s="7">
        <v>2012</v>
      </c>
      <c r="V90" s="5" t="s">
        <v>14</v>
      </c>
      <c r="W90" s="45" t="str">
        <f t="shared" si="5"/>
        <v>Caso 1</v>
      </c>
      <c r="X90" s="45" t="str">
        <f t="shared" si="3"/>
        <v>Caso 1</v>
      </c>
      <c r="Y90" s="45" t="str">
        <f t="shared" si="3"/>
        <v>Caso 1</v>
      </c>
      <c r="Z90" s="47">
        <f t="shared" si="6"/>
        <v>59.5</v>
      </c>
      <c r="AA90" s="47">
        <f t="shared" si="4"/>
        <v>59.5</v>
      </c>
      <c r="AB90" s="47">
        <f t="shared" si="4"/>
        <v>59.5</v>
      </c>
      <c r="AC90" s="7">
        <v>31</v>
      </c>
      <c r="AD90" s="6">
        <f t="shared" si="7"/>
        <v>205.82035117699999</v>
      </c>
      <c r="AE90" s="6">
        <f>AA90*$AC90*$C$91</f>
        <v>123.4922059105</v>
      </c>
      <c r="AF90" s="6">
        <f>AB90*$AC90*$C$92</f>
        <v>82.328145266500002</v>
      </c>
    </row>
    <row r="91" spans="2:32" x14ac:dyDescent="0.3">
      <c r="B91" t="s">
        <v>36</v>
      </c>
      <c r="C91" s="49">
        <v>6.6951589000000006E-2</v>
      </c>
      <c r="D91" s="49"/>
      <c r="E91" t="s">
        <v>64</v>
      </c>
      <c r="N91" s="34">
        <f>SUM(N79:N90)/12</f>
        <v>38.75</v>
      </c>
      <c r="U91" s="7">
        <v>2012</v>
      </c>
      <c r="V91" s="5" t="s">
        <v>15</v>
      </c>
      <c r="W91" s="45" t="str">
        <f t="shared" si="5"/>
        <v>Caso 1</v>
      </c>
      <c r="X91" s="45" t="str">
        <f t="shared" si="3"/>
        <v>Caso 1</v>
      </c>
      <c r="Y91" s="45" t="str">
        <f t="shared" si="3"/>
        <v>Caso 1</v>
      </c>
      <c r="Z91" s="47">
        <f t="shared" si="6"/>
        <v>59.5</v>
      </c>
      <c r="AA91" s="47">
        <f t="shared" si="4"/>
        <v>59.5</v>
      </c>
      <c r="AB91" s="47">
        <f t="shared" si="4"/>
        <v>59.5</v>
      </c>
      <c r="AC91" s="7">
        <v>30</v>
      </c>
      <c r="AD91" s="6">
        <f t="shared" si="7"/>
        <v>199.18098501</v>
      </c>
      <c r="AE91" s="6">
        <f>AA91*$AC91*$C$91</f>
        <v>119.50858636500001</v>
      </c>
      <c r="AF91" s="6">
        <f>AB91*$AC91*$C$92</f>
        <v>79.672398645000001</v>
      </c>
    </row>
    <row r="92" spans="2:32" x14ac:dyDescent="0.3">
      <c r="B92" t="s">
        <v>37</v>
      </c>
      <c r="C92" s="49">
        <v>4.4634396999999999E-2</v>
      </c>
      <c r="D92" s="49"/>
      <c r="E92" t="s">
        <v>64</v>
      </c>
      <c r="U92" s="7">
        <v>2012</v>
      </c>
      <c r="V92" s="5" t="s">
        <v>16</v>
      </c>
      <c r="W92" s="45" t="str">
        <f t="shared" si="5"/>
        <v>Caso 1</v>
      </c>
      <c r="X92" s="45" t="str">
        <f t="shared" si="3"/>
        <v>Caso 1</v>
      </c>
      <c r="Y92" s="45" t="str">
        <f t="shared" si="3"/>
        <v>Caso 1</v>
      </c>
      <c r="Z92" s="47">
        <f t="shared" si="6"/>
        <v>59.5</v>
      </c>
      <c r="AA92" s="47">
        <f t="shared" si="4"/>
        <v>59.5</v>
      </c>
      <c r="AB92" s="47">
        <f t="shared" si="4"/>
        <v>59.5</v>
      </c>
      <c r="AC92" s="7">
        <v>31</v>
      </c>
      <c r="AD92" s="6">
        <f t="shared" si="7"/>
        <v>205.82035117699999</v>
      </c>
      <c r="AE92" s="6">
        <f>AA92*$AC92*$C$91</f>
        <v>123.4922059105</v>
      </c>
      <c r="AF92" s="6">
        <f>AB92*$AC92*$C$92</f>
        <v>82.328145266500002</v>
      </c>
    </row>
    <row r="93" spans="2:32" x14ac:dyDescent="0.3">
      <c r="U93" s="7">
        <v>2012</v>
      </c>
      <c r="V93" s="5" t="s">
        <v>17</v>
      </c>
      <c r="W93" s="45" t="str">
        <f t="shared" si="5"/>
        <v>Caso 1</v>
      </c>
      <c r="X93" s="45" t="str">
        <f t="shared" si="3"/>
        <v>Caso 1</v>
      </c>
      <c r="Y93" s="45" t="str">
        <f t="shared" si="3"/>
        <v>Caso 1</v>
      </c>
      <c r="Z93" s="47">
        <f t="shared" si="6"/>
        <v>59.5</v>
      </c>
      <c r="AA93" s="47">
        <f t="shared" si="4"/>
        <v>59.5</v>
      </c>
      <c r="AB93" s="47">
        <f t="shared" si="4"/>
        <v>59.5</v>
      </c>
      <c r="AC93" s="7">
        <v>30</v>
      </c>
      <c r="AD93" s="6">
        <f t="shared" si="7"/>
        <v>199.18098501</v>
      </c>
      <c r="AE93" s="6">
        <f>AA93*$AC93*$C$91</f>
        <v>119.50858636500001</v>
      </c>
      <c r="AF93" s="6">
        <f>AB93*$AC93*$C$92</f>
        <v>79.672398645000001</v>
      </c>
    </row>
    <row r="94" spans="2:32" x14ac:dyDescent="0.3">
      <c r="U94" s="7">
        <v>2012</v>
      </c>
      <c r="V94" s="5" t="s">
        <v>18</v>
      </c>
      <c r="W94" s="45" t="str">
        <f t="shared" si="5"/>
        <v>Caso 1</v>
      </c>
      <c r="X94" s="45" t="str">
        <f t="shared" si="3"/>
        <v>Caso 1</v>
      </c>
      <c r="Y94" s="45" t="str">
        <f t="shared" si="3"/>
        <v>Caso 1</v>
      </c>
      <c r="Z94" s="47">
        <f t="shared" si="6"/>
        <v>59.5</v>
      </c>
      <c r="AA94" s="47">
        <f t="shared" si="4"/>
        <v>59.5</v>
      </c>
      <c r="AB94" s="47">
        <f t="shared" si="4"/>
        <v>59.5</v>
      </c>
      <c r="AC94" s="7">
        <v>31</v>
      </c>
      <c r="AD94" s="6">
        <f t="shared" si="7"/>
        <v>205.82035117699999</v>
      </c>
      <c r="AE94" s="6">
        <f>AA94*$AC94*$C$91</f>
        <v>123.4922059105</v>
      </c>
      <c r="AF94" s="6">
        <f>AB94*$AC94*$C$92</f>
        <v>82.328145266500002</v>
      </c>
    </row>
    <row r="95" spans="2:32" x14ac:dyDescent="0.3">
      <c r="U95" s="34">
        <v>2012</v>
      </c>
      <c r="V95" s="18" t="s">
        <v>19</v>
      </c>
      <c r="W95" s="45" t="str">
        <f t="shared" si="5"/>
        <v>Caso 1</v>
      </c>
      <c r="X95" s="45" t="str">
        <f t="shared" si="3"/>
        <v>Caso 1</v>
      </c>
      <c r="Y95" s="45" t="str">
        <f t="shared" si="3"/>
        <v>Caso 1</v>
      </c>
      <c r="Z95" s="47">
        <f t="shared" si="6"/>
        <v>59.5</v>
      </c>
      <c r="AA95" s="47">
        <f t="shared" si="4"/>
        <v>59.5</v>
      </c>
      <c r="AB95" s="47">
        <f t="shared" si="4"/>
        <v>59.5</v>
      </c>
      <c r="AC95" s="7">
        <v>31</v>
      </c>
      <c r="AD95" s="6">
        <f t="shared" si="7"/>
        <v>205.82035117699999</v>
      </c>
      <c r="AE95" s="6">
        <f>AA95*$AC95*$C$91</f>
        <v>123.4922059105</v>
      </c>
      <c r="AF95" s="6">
        <f>AB95*$AC95*$C$92</f>
        <v>82.328145266500002</v>
      </c>
    </row>
    <row r="96" spans="2:32" x14ac:dyDescent="0.3">
      <c r="B96" t="s">
        <v>78</v>
      </c>
      <c r="U96" s="34">
        <v>2012</v>
      </c>
      <c r="V96" s="18" t="s">
        <v>20</v>
      </c>
      <c r="W96" s="45" t="str">
        <f t="shared" si="5"/>
        <v>Caso 1</v>
      </c>
      <c r="X96" s="45" t="str">
        <f t="shared" si="3"/>
        <v>Caso 1</v>
      </c>
      <c r="Y96" s="45" t="str">
        <f t="shared" si="3"/>
        <v>Caso 1</v>
      </c>
      <c r="Z96" s="47">
        <f t="shared" si="6"/>
        <v>59.5</v>
      </c>
      <c r="AA96" s="47">
        <f t="shared" si="4"/>
        <v>59.5</v>
      </c>
      <c r="AB96" s="47">
        <f t="shared" si="4"/>
        <v>59.5</v>
      </c>
      <c r="AC96" s="7">
        <v>30</v>
      </c>
      <c r="AD96" s="6">
        <f t="shared" si="7"/>
        <v>199.18098501</v>
      </c>
      <c r="AE96" s="6">
        <f>AA96*$AC96*$C$91</f>
        <v>119.50858636500001</v>
      </c>
      <c r="AF96" s="6">
        <f>AB96*$AC96*$C$92</f>
        <v>79.672398645000001</v>
      </c>
    </row>
    <row r="97" spans="2:32" x14ac:dyDescent="0.3">
      <c r="U97" s="34">
        <v>2012</v>
      </c>
      <c r="V97" s="18" t="s">
        <v>21</v>
      </c>
      <c r="W97" s="45" t="str">
        <f t="shared" si="5"/>
        <v>Caso 1</v>
      </c>
      <c r="X97" s="45" t="str">
        <f t="shared" si="3"/>
        <v>Caso 1</v>
      </c>
      <c r="Y97" s="45" t="str">
        <f t="shared" si="3"/>
        <v>Caso 1</v>
      </c>
      <c r="Z97" s="47">
        <f t="shared" si="6"/>
        <v>59.5</v>
      </c>
      <c r="AA97" s="47">
        <f t="shared" si="4"/>
        <v>59.5</v>
      </c>
      <c r="AB97" s="47">
        <f t="shared" si="4"/>
        <v>59.5</v>
      </c>
      <c r="AC97" s="7">
        <v>31</v>
      </c>
      <c r="AD97" s="6">
        <f t="shared" si="7"/>
        <v>205.82035117699999</v>
      </c>
      <c r="AE97" s="6">
        <f>AA97*$AC97*$C$91</f>
        <v>123.4922059105</v>
      </c>
      <c r="AF97" s="6">
        <f>AB97*$AC97*$C$92</f>
        <v>82.328145266500002</v>
      </c>
    </row>
    <row r="98" spans="2:32" x14ac:dyDescent="0.3">
      <c r="B98" t="s">
        <v>82</v>
      </c>
      <c r="D98" t="s">
        <v>79</v>
      </c>
      <c r="E98" s="7" t="s">
        <v>80</v>
      </c>
      <c r="F98" s="7" t="s">
        <v>81</v>
      </c>
      <c r="U98" s="34">
        <v>2012</v>
      </c>
      <c r="V98" s="18" t="s">
        <v>22</v>
      </c>
      <c r="W98" s="45" t="str">
        <f t="shared" si="5"/>
        <v>Caso 1</v>
      </c>
      <c r="X98" s="45" t="str">
        <f t="shared" si="3"/>
        <v>Caso 1</v>
      </c>
      <c r="Y98" s="45" t="str">
        <f t="shared" si="3"/>
        <v>Caso 1</v>
      </c>
      <c r="Z98" s="47">
        <f t="shared" si="6"/>
        <v>59.5</v>
      </c>
      <c r="AA98" s="47">
        <f t="shared" si="4"/>
        <v>59.5</v>
      </c>
      <c r="AB98" s="47">
        <f t="shared" si="4"/>
        <v>59.5</v>
      </c>
      <c r="AC98" s="7">
        <v>30</v>
      </c>
      <c r="AD98" s="51">
        <f t="shared" si="7"/>
        <v>199.18098501</v>
      </c>
      <c r="AE98" s="51">
        <f>AA98*$AC98*$C$91</f>
        <v>119.50858636500001</v>
      </c>
      <c r="AF98" s="51">
        <f>AB98*$AC98*$C$92</f>
        <v>79.672398645000001</v>
      </c>
    </row>
    <row r="99" spans="2:32" x14ac:dyDescent="0.3">
      <c r="B99">
        <f>AE63</f>
        <v>139</v>
      </c>
      <c r="C99" t="s">
        <v>45</v>
      </c>
      <c r="D99" s="6">
        <f>AD82</f>
        <v>9624.235499507</v>
      </c>
      <c r="AC99" t="s">
        <v>68</v>
      </c>
      <c r="AD99" s="52">
        <f>SUM(AD87:AD98)</f>
        <v>2423.3686509549998</v>
      </c>
      <c r="AE99" s="52">
        <f t="shared" ref="AE99" si="8">SUM(AE87:AE98)</f>
        <v>1572.5923982264999</v>
      </c>
      <c r="AF99" s="52">
        <f t="shared" ref="AF99" si="9">SUM(AF87:AF98)</f>
        <v>982.47002956550011</v>
      </c>
    </row>
    <row r="100" spans="2:32" x14ac:dyDescent="0.3">
      <c r="B100">
        <f t="shared" ref="B100:B103" si="10">AE64</f>
        <v>70</v>
      </c>
      <c r="C100" t="s">
        <v>45</v>
      </c>
      <c r="D100" s="6">
        <f>AD100</f>
        <v>4978.4310787469994</v>
      </c>
      <c r="E100" s="6">
        <f>$D$99-D100</f>
        <v>4645.8044207600005</v>
      </c>
      <c r="F100" s="55">
        <f>E100/$D$99</f>
        <v>0.48271932051101424</v>
      </c>
      <c r="AC100" t="s">
        <v>69</v>
      </c>
      <c r="AD100" s="6">
        <f>SUM(AD99:AF99)</f>
        <v>4978.4310787469994</v>
      </c>
    </row>
    <row r="101" spans="2:32" x14ac:dyDescent="0.3">
      <c r="B101" s="33">
        <f t="shared" si="10"/>
        <v>40</v>
      </c>
      <c r="C101" s="33" t="s">
        <v>45</v>
      </c>
      <c r="D101" s="11">
        <f>AD117</f>
        <v>4362.721914752</v>
      </c>
      <c r="E101" s="11">
        <f t="shared" ref="E101:E102" si="11">$D$99-D101</f>
        <v>5261.513584755</v>
      </c>
      <c r="F101" s="56">
        <f t="shared" ref="F101:F102" si="12">E101/$D$99</f>
        <v>0.54669418521860991</v>
      </c>
      <c r="U101" t="s">
        <v>74</v>
      </c>
    </row>
    <row r="102" spans="2:32" x14ac:dyDescent="0.3">
      <c r="B102">
        <f t="shared" si="10"/>
        <v>35</v>
      </c>
      <c r="C102" t="s">
        <v>45</v>
      </c>
      <c r="D102" s="6">
        <f>AD134</f>
        <v>4512.1634428267498</v>
      </c>
      <c r="E102" s="6">
        <f t="shared" si="11"/>
        <v>5112.0720566802502</v>
      </c>
      <c r="F102" s="55">
        <f t="shared" si="12"/>
        <v>0.5311665593534276</v>
      </c>
      <c r="U102" s="41" t="s">
        <v>56</v>
      </c>
      <c r="V102" s="40"/>
      <c r="Z102" s="29" t="s">
        <v>65</v>
      </c>
      <c r="AA102" s="29"/>
      <c r="AB102" s="29"/>
      <c r="AD102" s="27" t="s">
        <v>66</v>
      </c>
      <c r="AE102" s="27"/>
      <c r="AF102" s="27"/>
    </row>
    <row r="103" spans="2:32" x14ac:dyDescent="0.3">
      <c r="U103" s="13" t="s">
        <v>10</v>
      </c>
      <c r="V103" s="13" t="s">
        <v>9</v>
      </c>
      <c r="W103" s="25" t="s">
        <v>35</v>
      </c>
      <c r="X103" s="25" t="s">
        <v>36</v>
      </c>
      <c r="Y103" s="25" t="s">
        <v>37</v>
      </c>
      <c r="Z103" s="46" t="s">
        <v>35</v>
      </c>
      <c r="AA103" s="46" t="s">
        <v>36</v>
      </c>
      <c r="AB103" s="46" t="s">
        <v>37</v>
      </c>
      <c r="AC103" s="50" t="s">
        <v>67</v>
      </c>
      <c r="AD103" s="28" t="s">
        <v>35</v>
      </c>
      <c r="AE103" s="28" t="s">
        <v>36</v>
      </c>
      <c r="AF103" s="28" t="s">
        <v>37</v>
      </c>
    </row>
    <row r="104" spans="2:32" x14ac:dyDescent="0.3">
      <c r="U104" s="7">
        <v>2011</v>
      </c>
      <c r="V104" s="5" t="s">
        <v>11</v>
      </c>
      <c r="W104" s="45" t="str">
        <f>IF(N79&lt;$AE$65,$U$62,IF(N79&gt;$AG$65,$U$64,$U$63))</f>
        <v>Caso 3</v>
      </c>
      <c r="X104" s="45" t="str">
        <f>IF(O79&lt;$AE$65,$U$62,IF(O79&gt;$AG$65,$U$64,$U$63))</f>
        <v>Caso 3</v>
      </c>
      <c r="Y104" s="45" t="str">
        <f>IF(P79&lt;$AE$65,$U$62,IF(P79&gt;$AG$65,$U$64,$U$63))</f>
        <v>Caso 1</v>
      </c>
      <c r="Z104" s="47">
        <f>IF(W104=$U$62,$AF$65,IF(W104=$U$63,N79,N79+2*(N79-$AG$65)))</f>
        <v>117</v>
      </c>
      <c r="AA104" s="47">
        <f>IF(X104=$U$62,$AF$65,IF(X104=$U$63,O79,O79+2*(O79-$AG$65)))</f>
        <v>126</v>
      </c>
      <c r="AB104" s="47">
        <f>IF(Y104=$U$62,$AF$65,IF(Y104=$U$63,P79,P79+2*(P79-$AG$65)))</f>
        <v>34</v>
      </c>
      <c r="AC104" s="7">
        <v>31</v>
      </c>
      <c r="AD104" s="6">
        <f>Z104*$AC104*$C$90</f>
        <v>404.72237122199999</v>
      </c>
      <c r="AE104" s="6">
        <f>AA104*$AC104*$C$91</f>
        <v>261.51290663400005</v>
      </c>
      <c r="AF104" s="6">
        <f>AB104*$AC104*$C$92</f>
        <v>47.044654438000002</v>
      </c>
    </row>
    <row r="105" spans="2:32" x14ac:dyDescent="0.3">
      <c r="U105" s="7">
        <v>2012</v>
      </c>
      <c r="V105" s="5" t="s">
        <v>12</v>
      </c>
      <c r="W105" s="45" t="str">
        <f>IF(N80&lt;$AE$65,$U$62,IF(N80&gt;$AG$65,$U$64,$U$63))</f>
        <v>Caso 3</v>
      </c>
      <c r="X105" s="45" t="str">
        <f>IF(O80&lt;$AE$65,$U$62,IF(O80&gt;$AG$65,$U$64,$U$63))</f>
        <v>Caso 3</v>
      </c>
      <c r="Y105" s="45" t="str">
        <f>IF(P80&lt;$AE$65,$U$62,IF(P80&gt;$AG$65,$U$64,$U$63))</f>
        <v>Caso 3</v>
      </c>
      <c r="Z105" s="47">
        <f>IF(W105=$U$62,$AF$65,IF(W105=$U$63,N80,N80+2*(N80-$AG$65)))</f>
        <v>102</v>
      </c>
      <c r="AA105" s="47">
        <f>IF(X105=$U$62,$AF$65,IF(X105=$U$63,O80,O80+2*(O80-$AG$65)))</f>
        <v>147</v>
      </c>
      <c r="AB105" s="47">
        <f>IF(Y105=$U$62,$AF$65,IF(Y105=$U$63,P80,P80+2*(P80-$AG$65)))</f>
        <v>120</v>
      </c>
      <c r="AC105" s="7">
        <v>31</v>
      </c>
      <c r="AD105" s="6">
        <f t="shared" ref="AD105:AD115" si="13">Z105*AC105*$C$90</f>
        <v>352.83488773199997</v>
      </c>
      <c r="AE105" s="6">
        <f>AA105*$AC105*$C$91</f>
        <v>305.09839107300002</v>
      </c>
      <c r="AF105" s="6">
        <f>AB105*$AC105*$C$92</f>
        <v>166.03995684</v>
      </c>
    </row>
    <row r="106" spans="2:32" x14ac:dyDescent="0.3">
      <c r="U106" s="7">
        <v>2012</v>
      </c>
      <c r="V106" s="5" t="s">
        <v>13</v>
      </c>
      <c r="W106" s="45" t="str">
        <f>IF(N81&lt;$AE$65,$U$62,IF(N81&gt;$AG$65,$U$64,$U$63))</f>
        <v>Caso 3</v>
      </c>
      <c r="X106" s="45" t="str">
        <f>IF(O81&lt;$AE$65,$U$62,IF(O81&gt;$AG$65,$U$64,$U$63))</f>
        <v>Caso 3</v>
      </c>
      <c r="Y106" s="45" t="str">
        <f>IF(P81&lt;$AE$65,$U$62,IF(P81&gt;$AG$65,$U$64,$U$63))</f>
        <v>Caso 3</v>
      </c>
      <c r="Z106" s="47">
        <f>IF(W106=$U$62,$AF$65,IF(W106=$U$63,N81,N81+2*(N81-$AG$65)))</f>
        <v>60</v>
      </c>
      <c r="AA106" s="47">
        <f>IF(X106=$U$62,$AF$65,IF(X106=$U$63,O81,O81+2*(O81-$AG$65)))</f>
        <v>147</v>
      </c>
      <c r="AB106" s="47">
        <f>IF(Y106=$U$62,$AF$65,IF(Y106=$U$63,P81,P81+2*(P81-$AG$65)))</f>
        <v>126</v>
      </c>
      <c r="AC106" s="7">
        <v>28</v>
      </c>
      <c r="AD106" s="6">
        <f t="shared" si="13"/>
        <v>187.46445648</v>
      </c>
      <c r="AE106" s="6">
        <f>AA106*$AC106*$C$91</f>
        <v>275.57274032400005</v>
      </c>
      <c r="AF106" s="6">
        <f>AB106*$AC106*$C$92</f>
        <v>157.47015261600001</v>
      </c>
    </row>
    <row r="107" spans="2:32" x14ac:dyDescent="0.3">
      <c r="U107" s="7">
        <v>2012</v>
      </c>
      <c r="V107" s="5" t="s">
        <v>14</v>
      </c>
      <c r="W107" s="45" t="str">
        <f>IF(N82&lt;$AE$65,$U$62,IF(N82&gt;$AG$65,$U$64,$U$63))</f>
        <v>Caso 1</v>
      </c>
      <c r="X107" s="45" t="str">
        <f>IF(O82&lt;$AE$65,$U$62,IF(O82&gt;$AG$65,$U$64,$U$63))</f>
        <v>Caso 3</v>
      </c>
      <c r="Y107" s="45" t="str">
        <f>IF(P82&lt;$AE$65,$U$62,IF(P82&gt;$AG$65,$U$64,$U$63))</f>
        <v>Caso 1</v>
      </c>
      <c r="Z107" s="47">
        <f>IF(W107=$U$62,$AF$65,IF(W107=$U$63,N82,N82+2*(N82-$AG$65)))</f>
        <v>34</v>
      </c>
      <c r="AA107" s="47">
        <f>IF(X107=$U$62,$AF$65,IF(X107=$U$63,O82,O82+2*(O82-$AG$65)))</f>
        <v>51</v>
      </c>
      <c r="AB107" s="47">
        <f>IF(Y107=$U$62,$AF$65,IF(Y107=$U$63,P82,P82+2*(P82-$AG$65)))</f>
        <v>34</v>
      </c>
      <c r="AC107" s="7">
        <v>31</v>
      </c>
      <c r="AD107" s="6">
        <f t="shared" si="13"/>
        <v>117.611629244</v>
      </c>
      <c r="AE107" s="6">
        <f>AA107*$AC107*$C$91</f>
        <v>105.85046220900001</v>
      </c>
      <c r="AF107" s="6">
        <f>AB107*$AC107*$C$92</f>
        <v>47.044654438000002</v>
      </c>
    </row>
    <row r="108" spans="2:32" x14ac:dyDescent="0.3">
      <c r="U108" s="7">
        <v>2012</v>
      </c>
      <c r="V108" s="5" t="s">
        <v>15</v>
      </c>
      <c r="W108" s="45" t="str">
        <f>IF(N83&lt;$AE$65,$U$62,IF(N83&gt;$AG$65,$U$64,$U$63))</f>
        <v>Caso 1</v>
      </c>
      <c r="X108" s="45" t="str">
        <f>IF(O83&lt;$AE$65,$U$62,IF(O83&gt;$AG$65,$U$64,$U$63))</f>
        <v>Caso 1</v>
      </c>
      <c r="Y108" s="45" t="str">
        <f>IF(P83&lt;$AE$65,$U$62,IF(P83&gt;$AG$65,$U$64,$U$63))</f>
        <v>Caso 1</v>
      </c>
      <c r="Z108" s="47">
        <f>IF(W108=$U$62,$AF$65,IF(W108=$U$63,N83,N83+2*(N83-$AG$65)))</f>
        <v>34</v>
      </c>
      <c r="AA108" s="47">
        <f>IF(X108=$U$62,$AF$65,IF(X108=$U$63,O83,O83+2*(O83-$AG$65)))</f>
        <v>34</v>
      </c>
      <c r="AB108" s="47">
        <f>IF(Y108=$U$62,$AF$65,IF(Y108=$U$63,P83,P83+2*(P83-$AG$65)))</f>
        <v>34</v>
      </c>
      <c r="AC108" s="7">
        <v>30</v>
      </c>
      <c r="AD108" s="6">
        <f t="shared" si="13"/>
        <v>113.81770571999999</v>
      </c>
      <c r="AE108" s="6">
        <f>AA108*$AC108*$C$91</f>
        <v>68.290620780000012</v>
      </c>
      <c r="AF108" s="6">
        <f>AB108*$AC108*$C$92</f>
        <v>45.527084940000002</v>
      </c>
    </row>
    <row r="109" spans="2:32" x14ac:dyDescent="0.3">
      <c r="U109" s="7">
        <v>2012</v>
      </c>
      <c r="V109" s="5" t="s">
        <v>16</v>
      </c>
      <c r="W109" s="45" t="str">
        <f>IF(N84&lt;$AE$65,$U$62,IF(N84&gt;$AG$65,$U$64,$U$63))</f>
        <v>Caso 1</v>
      </c>
      <c r="X109" s="45" t="str">
        <f>IF(O84&lt;$AE$65,$U$62,IF(O84&gt;$AG$65,$U$64,$U$63))</f>
        <v>Caso 1</v>
      </c>
      <c r="Y109" s="45" t="str">
        <f>IF(P84&lt;$AE$65,$U$62,IF(P84&gt;$AG$65,$U$64,$U$63))</f>
        <v>Caso 1</v>
      </c>
      <c r="Z109" s="47">
        <f>IF(W109=$U$62,$AF$65,IF(W109=$U$63,N84,N84+2*(N84-$AG$65)))</f>
        <v>34</v>
      </c>
      <c r="AA109" s="47">
        <f>IF(X109=$U$62,$AF$65,IF(X109=$U$63,O84,O84+2*(O84-$AG$65)))</f>
        <v>34</v>
      </c>
      <c r="AB109" s="47">
        <f>IF(Y109=$U$62,$AF$65,IF(Y109=$U$63,P84,P84+2*(P84-$AG$65)))</f>
        <v>34</v>
      </c>
      <c r="AC109" s="7">
        <v>31</v>
      </c>
      <c r="AD109" s="6">
        <f t="shared" si="13"/>
        <v>117.611629244</v>
      </c>
      <c r="AE109" s="6">
        <f>AA109*$AC109*$C$91</f>
        <v>70.566974806000005</v>
      </c>
      <c r="AF109" s="6">
        <f>AB109*$AC109*$C$92</f>
        <v>47.044654438000002</v>
      </c>
    </row>
    <row r="110" spans="2:32" x14ac:dyDescent="0.3">
      <c r="U110" s="7">
        <v>2012</v>
      </c>
      <c r="V110" s="5" t="s">
        <v>17</v>
      </c>
      <c r="W110" s="45" t="str">
        <f>IF(N85&lt;$AE$65,$U$62,IF(N85&gt;$AG$65,$U$64,$U$63))</f>
        <v>Caso 1</v>
      </c>
      <c r="X110" s="45" t="str">
        <f>IF(O85&lt;$AE$65,$U$62,IF(O85&gt;$AG$65,$U$64,$U$63))</f>
        <v>Caso 1</v>
      </c>
      <c r="Y110" s="45" t="str">
        <f>IF(P85&lt;$AE$65,$U$62,IF(P85&gt;$AG$65,$U$64,$U$63))</f>
        <v>Caso 1</v>
      </c>
      <c r="Z110" s="47">
        <f>IF(W110=$U$62,$AF$65,IF(W110=$U$63,N85,N85+2*(N85-$AG$65)))</f>
        <v>34</v>
      </c>
      <c r="AA110" s="47">
        <f>IF(X110=$U$62,$AF$65,IF(X110=$U$63,O85,O85+2*(O85-$AG$65)))</f>
        <v>34</v>
      </c>
      <c r="AB110" s="47">
        <f>IF(Y110=$U$62,$AF$65,IF(Y110=$U$63,P85,P85+2*(P85-$AG$65)))</f>
        <v>34</v>
      </c>
      <c r="AC110" s="7">
        <v>30</v>
      </c>
      <c r="AD110" s="6">
        <f t="shared" si="13"/>
        <v>113.81770571999999</v>
      </c>
      <c r="AE110" s="6">
        <f>AA110*$AC110*$C$91</f>
        <v>68.290620780000012</v>
      </c>
      <c r="AF110" s="6">
        <f>AB110*$AC110*$C$92</f>
        <v>45.527084940000002</v>
      </c>
    </row>
    <row r="111" spans="2:32" x14ac:dyDescent="0.3">
      <c r="U111" s="7">
        <v>2012</v>
      </c>
      <c r="V111" s="5" t="s">
        <v>18</v>
      </c>
      <c r="W111" s="45" t="str">
        <f>IF(N86&lt;$AE$65,$U$62,IF(N86&gt;$AG$65,$U$64,$U$63))</f>
        <v>Caso 1</v>
      </c>
      <c r="X111" s="45" t="str">
        <f>IF(O86&lt;$AE$65,$U$62,IF(O86&gt;$AG$65,$U$64,$U$63))</f>
        <v>Caso 1</v>
      </c>
      <c r="Y111" s="45" t="str">
        <f>IF(P86&lt;$AE$65,$U$62,IF(P86&gt;$AG$65,$U$64,$U$63))</f>
        <v>Caso 1</v>
      </c>
      <c r="Z111" s="47">
        <f>IF(W111=$U$62,$AF$65,IF(W111=$U$63,N86,N86+2*(N86-$AG$65)))</f>
        <v>34</v>
      </c>
      <c r="AA111" s="47">
        <f>IF(X111=$U$62,$AF$65,IF(X111=$U$63,O86,O86+2*(O86-$AG$65)))</f>
        <v>34</v>
      </c>
      <c r="AB111" s="47">
        <f>IF(Y111=$U$62,$AF$65,IF(Y111=$U$63,P86,P86+2*(P86-$AG$65)))</f>
        <v>34</v>
      </c>
      <c r="AC111" s="7">
        <v>31</v>
      </c>
      <c r="AD111" s="6">
        <f t="shared" si="13"/>
        <v>117.611629244</v>
      </c>
      <c r="AE111" s="6">
        <f>AA111*$AC111*$C$91</f>
        <v>70.566974806000005</v>
      </c>
      <c r="AF111" s="6">
        <f>AB111*$AC111*$C$92</f>
        <v>47.044654438000002</v>
      </c>
    </row>
    <row r="112" spans="2:32" x14ac:dyDescent="0.3">
      <c r="U112" s="34">
        <v>2012</v>
      </c>
      <c r="V112" s="18" t="s">
        <v>19</v>
      </c>
      <c r="W112" s="45" t="str">
        <f>IF(N87&lt;$AE$65,$U$62,IF(N87&gt;$AG$65,$U$64,$U$63))</f>
        <v>Caso 1</v>
      </c>
      <c r="X112" s="45" t="str">
        <f>IF(O87&lt;$AE$65,$U$62,IF(O87&gt;$AG$65,$U$64,$U$63))</f>
        <v>Caso 1</v>
      </c>
      <c r="Y112" s="45" t="str">
        <f>IF(P87&lt;$AE$65,$U$62,IF(P87&gt;$AG$65,$U$64,$U$63))</f>
        <v>Caso 1</v>
      </c>
      <c r="Z112" s="47">
        <f>IF(W112=$U$62,$AF$65,IF(W112=$U$63,N87,N87+2*(N87-$AG$65)))</f>
        <v>34</v>
      </c>
      <c r="AA112" s="47">
        <f>IF(X112=$U$62,$AF$65,IF(X112=$U$63,O87,O87+2*(O87-$AG$65)))</f>
        <v>34</v>
      </c>
      <c r="AB112" s="47">
        <f>IF(Y112=$U$62,$AF$65,IF(Y112=$U$63,P87,P87+2*(P87-$AG$65)))</f>
        <v>34</v>
      </c>
      <c r="AC112" s="7">
        <v>31</v>
      </c>
      <c r="AD112" s="6">
        <f t="shared" si="13"/>
        <v>117.611629244</v>
      </c>
      <c r="AE112" s="6">
        <f>AA112*$AC112*$C$91</f>
        <v>70.566974806000005</v>
      </c>
      <c r="AF112" s="6">
        <f>AB112*$AC112*$C$92</f>
        <v>47.044654438000002</v>
      </c>
    </row>
    <row r="113" spans="21:32" x14ac:dyDescent="0.3">
      <c r="U113" s="34">
        <v>2012</v>
      </c>
      <c r="V113" s="18" t="s">
        <v>20</v>
      </c>
      <c r="W113" s="45" t="str">
        <f>IF(N88&lt;$AE$65,$U$62,IF(N88&gt;$AG$65,$U$64,$U$63))</f>
        <v>Caso 1</v>
      </c>
      <c r="X113" s="45" t="str">
        <f>IF(O88&lt;$AE$65,$U$62,IF(O88&gt;$AG$65,$U$64,$U$63))</f>
        <v>Caso 1</v>
      </c>
      <c r="Y113" s="45" t="str">
        <f>IF(P88&lt;$AE$65,$U$62,IF(P88&gt;$AG$65,$U$64,$U$63))</f>
        <v>Caso 1</v>
      </c>
      <c r="Z113" s="47">
        <f>IF(W113=$U$62,$AF$65,IF(W113=$U$63,N88,N88+2*(N88-$AG$65)))</f>
        <v>34</v>
      </c>
      <c r="AA113" s="47">
        <f>IF(X113=$U$62,$AF$65,IF(X113=$U$63,O88,O88+2*(O88-$AG$65)))</f>
        <v>34</v>
      </c>
      <c r="AB113" s="47">
        <f>IF(Y113=$U$62,$AF$65,IF(Y113=$U$63,P88,P88+2*(P88-$AG$65)))</f>
        <v>34</v>
      </c>
      <c r="AC113" s="7">
        <v>30</v>
      </c>
      <c r="AD113" s="6">
        <f t="shared" si="13"/>
        <v>113.81770571999999</v>
      </c>
      <c r="AE113" s="6">
        <f>AA113*$AC113*$C$91</f>
        <v>68.290620780000012</v>
      </c>
      <c r="AF113" s="6">
        <f>AB113*$AC113*$C$92</f>
        <v>45.527084940000002</v>
      </c>
    </row>
    <row r="114" spans="21:32" x14ac:dyDescent="0.3">
      <c r="U114" s="34">
        <v>2012</v>
      </c>
      <c r="V114" s="18" t="s">
        <v>21</v>
      </c>
      <c r="W114" s="45" t="str">
        <f>IF(N89&lt;$AE$65,$U$62,IF(N89&gt;$AG$65,$U$64,$U$63))</f>
        <v>Caso 1</v>
      </c>
      <c r="X114" s="45" t="str">
        <f>IF(O89&lt;$AE$65,$U$62,IF(O89&gt;$AG$65,$U$64,$U$63))</f>
        <v>Caso 1</v>
      </c>
      <c r="Y114" s="45" t="str">
        <f>IF(P89&lt;$AE$65,$U$62,IF(P89&gt;$AG$65,$U$64,$U$63))</f>
        <v>Caso 1</v>
      </c>
      <c r="Z114" s="47">
        <f>IF(W114=$U$62,$AF$65,IF(W114=$U$63,N89,N89+2*(N89-$AG$65)))</f>
        <v>34</v>
      </c>
      <c r="AA114" s="47">
        <f>IF(X114=$U$62,$AF$65,IF(X114=$U$63,O89,O89+2*(O89-$AG$65)))</f>
        <v>34</v>
      </c>
      <c r="AB114" s="47">
        <f>IF(Y114=$U$62,$AF$65,IF(Y114=$U$63,P89,P89+2*(P89-$AG$65)))</f>
        <v>34</v>
      </c>
      <c r="AC114" s="7">
        <v>31</v>
      </c>
      <c r="AD114" s="6">
        <f t="shared" si="13"/>
        <v>117.611629244</v>
      </c>
      <c r="AE114" s="6">
        <f>AA114*$AC114*$C$91</f>
        <v>70.566974806000005</v>
      </c>
      <c r="AF114" s="6">
        <f>AB114*$AC114*$C$92</f>
        <v>47.044654438000002</v>
      </c>
    </row>
    <row r="115" spans="21:32" x14ac:dyDescent="0.3">
      <c r="U115" s="34">
        <v>2012</v>
      </c>
      <c r="V115" s="18" t="s">
        <v>22</v>
      </c>
      <c r="W115" s="45" t="str">
        <f>IF(N90&lt;$AE$65,$U$62,IF(N90&gt;$AG$65,$U$64,$U$63))</f>
        <v>Caso 3</v>
      </c>
      <c r="X115" s="45" t="str">
        <f>IF(O90&lt;$AE$65,$U$62,IF(O90&gt;$AG$65,$U$64,$U$63))</f>
        <v>Caso 3</v>
      </c>
      <c r="Y115" s="45" t="str">
        <f>IF(P90&lt;$AE$65,$U$62,IF(P90&gt;$AG$65,$U$64,$U$63))</f>
        <v>Caso 1</v>
      </c>
      <c r="Z115" s="47">
        <f>IF(W115=$U$62,$AF$65,IF(W115=$U$63,N90,N90+2*(N90-$AG$65)))</f>
        <v>45</v>
      </c>
      <c r="AA115" s="47">
        <f>IF(X115=$U$62,$AF$65,IF(X115=$U$63,O90,O90+2*(O90-$AG$65)))</f>
        <v>57</v>
      </c>
      <c r="AB115" s="47">
        <f>IF(Y115=$U$62,$AF$65,IF(Y115=$U$63,P90,P90+2*(P90-$AG$65)))</f>
        <v>34</v>
      </c>
      <c r="AC115" s="7">
        <v>30</v>
      </c>
      <c r="AD115" s="51">
        <f t="shared" si="13"/>
        <v>150.64108110000001</v>
      </c>
      <c r="AE115" s="51">
        <f>AA115*$AC115*$C$91</f>
        <v>114.48721719000001</v>
      </c>
      <c r="AF115" s="51">
        <f>AB115*$AC115*$C$92</f>
        <v>45.527084940000002</v>
      </c>
    </row>
    <row r="116" spans="21:32" x14ac:dyDescent="0.3">
      <c r="AC116" t="s">
        <v>68</v>
      </c>
      <c r="AD116" s="52">
        <f>SUM(AD104:AD115)</f>
        <v>2025.1740599139998</v>
      </c>
      <c r="AE116" s="52">
        <f t="shared" ref="AE116" si="14">SUM(AE104:AE115)</f>
        <v>1549.6614789939999</v>
      </c>
      <c r="AF116" s="52">
        <f t="shared" ref="AF116" si="15">SUM(AF104:AF115)</f>
        <v>787.88637584399987</v>
      </c>
    </row>
    <row r="117" spans="21:32" x14ac:dyDescent="0.3">
      <c r="AC117" t="s">
        <v>69</v>
      </c>
      <c r="AD117" s="6">
        <f>SUM(AD116:AF116)</f>
        <v>4362.721914752</v>
      </c>
    </row>
    <row r="118" spans="21:32" x14ac:dyDescent="0.3">
      <c r="U118" t="s">
        <v>77</v>
      </c>
    </row>
    <row r="119" spans="21:32" x14ac:dyDescent="0.3">
      <c r="U119" s="41" t="s">
        <v>56</v>
      </c>
      <c r="V119" s="40"/>
      <c r="Z119" s="29" t="s">
        <v>65</v>
      </c>
      <c r="AA119" s="29"/>
      <c r="AB119" s="29"/>
      <c r="AD119" s="27" t="s">
        <v>66</v>
      </c>
      <c r="AE119" s="27"/>
      <c r="AF119" s="27"/>
    </row>
    <row r="120" spans="21:32" x14ac:dyDescent="0.3">
      <c r="U120" s="13" t="s">
        <v>10</v>
      </c>
      <c r="V120" s="13" t="s">
        <v>9</v>
      </c>
      <c r="W120" s="25" t="s">
        <v>35</v>
      </c>
      <c r="X120" s="25" t="s">
        <v>36</v>
      </c>
      <c r="Y120" s="25" t="s">
        <v>37</v>
      </c>
      <c r="Z120" s="46" t="s">
        <v>35</v>
      </c>
      <c r="AA120" s="46" t="s">
        <v>36</v>
      </c>
      <c r="AB120" s="46" t="s">
        <v>37</v>
      </c>
      <c r="AC120" s="50" t="s">
        <v>67</v>
      </c>
      <c r="AD120" s="28" t="s">
        <v>35</v>
      </c>
      <c r="AE120" s="28" t="s">
        <v>36</v>
      </c>
      <c r="AF120" s="28" t="s">
        <v>37</v>
      </c>
    </row>
    <row r="121" spans="21:32" x14ac:dyDescent="0.3">
      <c r="U121" s="7">
        <v>2011</v>
      </c>
      <c r="V121" s="5" t="s">
        <v>11</v>
      </c>
      <c r="W121" s="45" t="str">
        <f>IF(N79&lt;$AE$66,$U$62,IF(N79&gt;$AG$66,$U$64,$U$63))</f>
        <v>Caso 3</v>
      </c>
      <c r="X121" s="45" t="str">
        <f>IF(O79&lt;$AE$66,$U$62,IF(O79&gt;$AG$66,$U$64,$U$63))</f>
        <v>Caso 3</v>
      </c>
      <c r="Y121" s="45" t="str">
        <f>IF(P79&lt;$AE$66,$U$62,IF(P79&gt;$AG$66,$U$64,$U$63))</f>
        <v>Caso 2</v>
      </c>
      <c r="Z121" s="47">
        <f>IF(W121=$U$62,$AF$66,IF(W121=$U$63,N79,N79+2*(N79-$AG$66)))</f>
        <v>127.5</v>
      </c>
      <c r="AA121" s="47">
        <f>IF(X121=$U$62,$AF$66,IF(X121=$U$63,O79,O79+2*(O79-$AG$66)))</f>
        <v>136.5</v>
      </c>
      <c r="AB121" s="47">
        <f>IF(Y121=$U$62,$AF$66,IF(Y121=$U$63,P79,P79+2*(P79-$AG$66)))</f>
        <v>36</v>
      </c>
      <c r="AC121" s="7">
        <v>31</v>
      </c>
      <c r="AD121" s="6">
        <f>Z121*$AC121*$C$90</f>
        <v>441.04360966500002</v>
      </c>
      <c r="AE121" s="6">
        <f>AA121*$AC121*$C$91</f>
        <v>283.30564885350003</v>
      </c>
      <c r="AF121" s="6">
        <f>AB121*$AC121*$C$92</f>
        <v>49.811987051999999</v>
      </c>
    </row>
    <row r="122" spans="21:32" x14ac:dyDescent="0.3">
      <c r="U122" s="7">
        <v>2012</v>
      </c>
      <c r="V122" s="5" t="s">
        <v>12</v>
      </c>
      <c r="W122" s="45" t="str">
        <f>IF(N80&lt;$AE$66,$U$62,IF(N80&gt;$AG$66,$U$64,$U$63))</f>
        <v>Caso 3</v>
      </c>
      <c r="X122" s="45" t="str">
        <f>IF(O80&lt;$AE$66,$U$62,IF(O80&gt;$AG$66,$U$64,$U$63))</f>
        <v>Caso 3</v>
      </c>
      <c r="Y122" s="45" t="str">
        <f>IF(P80&lt;$AE$66,$U$62,IF(P80&gt;$AG$66,$U$64,$U$63))</f>
        <v>Caso 3</v>
      </c>
      <c r="Z122" s="47">
        <f>IF(W122=$U$62,$AF$66,IF(W122=$U$63,N80,N80+2*(N80-$AG$66)))</f>
        <v>112.5</v>
      </c>
      <c r="AA122" s="47">
        <f>IF(X122=$U$62,$AF$66,IF(X122=$U$63,O80,O80+2*(O80-$AG$66)))</f>
        <v>157.5</v>
      </c>
      <c r="AB122" s="47">
        <f>IF(Y122=$U$62,$AF$66,IF(Y122=$U$63,P80,P80+2*(P80-$AG$66)))</f>
        <v>130.5</v>
      </c>
      <c r="AC122" s="7">
        <v>31</v>
      </c>
      <c r="AD122" s="6">
        <f t="shared" ref="AD122:AD132" si="16">Z122*AC122*$C$90</f>
        <v>389.156126175</v>
      </c>
      <c r="AE122" s="6">
        <f>AA122*$AC122*$C$91</f>
        <v>326.8911332925</v>
      </c>
      <c r="AF122" s="6">
        <f>AB122*$AC122*$C$92</f>
        <v>180.56845306349999</v>
      </c>
    </row>
    <row r="123" spans="21:32" x14ac:dyDescent="0.3">
      <c r="U123" s="7">
        <v>2012</v>
      </c>
      <c r="V123" s="5" t="s">
        <v>13</v>
      </c>
      <c r="W123" s="45" t="str">
        <f>IF(N81&lt;$AE$66,$U$62,IF(N81&gt;$AG$66,$U$64,$U$63))</f>
        <v>Caso 3</v>
      </c>
      <c r="X123" s="45" t="str">
        <f>IF(O81&lt;$AE$66,$U$62,IF(O81&gt;$AG$66,$U$64,$U$63))</f>
        <v>Caso 3</v>
      </c>
      <c r="Y123" s="45" t="str">
        <f>IF(P81&lt;$AE$66,$U$62,IF(P81&gt;$AG$66,$U$64,$U$63))</f>
        <v>Caso 3</v>
      </c>
      <c r="Z123" s="47">
        <f>IF(W123=$U$62,$AF$66,IF(W123=$U$63,N81,N81+2*(N81-$AG$66)))</f>
        <v>70.5</v>
      </c>
      <c r="AA123" s="47">
        <f>IF(X123=$U$62,$AF$66,IF(X123=$U$63,O81,O81+2*(O81-$AG$66)))</f>
        <v>157.5</v>
      </c>
      <c r="AB123" s="47">
        <f>IF(Y123=$U$62,$AF$66,IF(Y123=$U$63,P81,P81+2*(P81-$AG$66)))</f>
        <v>136.5</v>
      </c>
      <c r="AC123" s="7">
        <v>28</v>
      </c>
      <c r="AD123" s="6">
        <f t="shared" si="16"/>
        <v>220.27073636399999</v>
      </c>
      <c r="AE123" s="6">
        <f>AA123*$AC123*$C$91</f>
        <v>295.25650749000005</v>
      </c>
      <c r="AF123" s="6">
        <f>AB123*$AC123*$C$92</f>
        <v>170.592665334</v>
      </c>
    </row>
    <row r="124" spans="21:32" x14ac:dyDescent="0.3">
      <c r="U124" s="7">
        <v>2012</v>
      </c>
      <c r="V124" s="5" t="s">
        <v>14</v>
      </c>
      <c r="W124" s="45" t="str">
        <f>IF(N82&lt;$AE$66,$U$62,IF(N82&gt;$AG$66,$U$64,$U$63))</f>
        <v>Caso 2</v>
      </c>
      <c r="X124" s="45" t="str">
        <f>IF(O82&lt;$AE$66,$U$62,IF(O82&gt;$AG$66,$U$64,$U$63))</f>
        <v>Caso 3</v>
      </c>
      <c r="Y124" s="45" t="str">
        <f>IF(P82&lt;$AE$66,$U$62,IF(P82&gt;$AG$66,$U$64,$U$63))</f>
        <v>Caso 3</v>
      </c>
      <c r="Z124" s="47">
        <f>IF(W124=$U$62,$AF$66,IF(W124=$U$63,N82,N82+2*(N82-$AG$66)))</f>
        <v>36</v>
      </c>
      <c r="AA124" s="47">
        <f>IF(X124=$U$62,$AF$66,IF(X124=$U$63,O82,O82+2*(O82-$AG$66)))</f>
        <v>61.5</v>
      </c>
      <c r="AB124" s="47">
        <f>IF(Y124=$U$62,$AF$66,IF(Y124=$U$63,P82,P82+2*(P82-$AG$66)))</f>
        <v>40.5</v>
      </c>
      <c r="AC124" s="7">
        <v>31</v>
      </c>
      <c r="AD124" s="6">
        <f t="shared" si="16"/>
        <v>124.52996037599999</v>
      </c>
      <c r="AE124" s="6">
        <f>AA124*$AC124*$C$91</f>
        <v>127.64320442850001</v>
      </c>
      <c r="AF124" s="6">
        <f>AB124*$AC124*$C$92</f>
        <v>56.0384854335</v>
      </c>
    </row>
    <row r="125" spans="21:32" x14ac:dyDescent="0.3">
      <c r="U125" s="7">
        <v>2012</v>
      </c>
      <c r="V125" s="5" t="s">
        <v>15</v>
      </c>
      <c r="W125" s="45" t="str">
        <f>IF(N83&lt;$AE$66,$U$62,IF(N83&gt;$AG$66,$U$64,$U$63))</f>
        <v>Caso 3</v>
      </c>
      <c r="X125" s="45" t="str">
        <f>IF(O83&lt;$AE$66,$U$62,IF(O83&gt;$AG$66,$U$64,$U$63))</f>
        <v>Caso 3</v>
      </c>
      <c r="Y125" s="45" t="str">
        <f>IF(P83&lt;$AE$66,$U$62,IF(P83&gt;$AG$66,$U$64,$U$63))</f>
        <v>Caso 1</v>
      </c>
      <c r="Z125" s="47">
        <f>IF(W125=$U$62,$AF$66,IF(W125=$U$63,N83,N83+2*(N83-$AG$66)))</f>
        <v>37.5</v>
      </c>
      <c r="AA125" s="47">
        <f>IF(X125=$U$62,$AF$66,IF(X125=$U$63,O83,O83+2*(O83-$AG$66)))</f>
        <v>37.5</v>
      </c>
      <c r="AB125" s="47">
        <f>IF(Y125=$U$62,$AF$66,IF(Y125=$U$63,P83,P83+2*(P83-$AG$66)))</f>
        <v>29.75</v>
      </c>
      <c r="AC125" s="7">
        <v>30</v>
      </c>
      <c r="AD125" s="6">
        <f t="shared" si="16"/>
        <v>125.53423425</v>
      </c>
      <c r="AE125" s="6">
        <f>AA125*$AC125*$C$91</f>
        <v>75.320537625</v>
      </c>
      <c r="AF125" s="6">
        <f>AB125*$AC125*$C$92</f>
        <v>39.836199322500001</v>
      </c>
    </row>
    <row r="126" spans="21:32" x14ac:dyDescent="0.3">
      <c r="U126" s="7">
        <v>2012</v>
      </c>
      <c r="V126" s="5" t="s">
        <v>16</v>
      </c>
      <c r="W126" s="45" t="str">
        <f>IF(N84&lt;$AE$66,$U$62,IF(N84&gt;$AG$66,$U$64,$U$63))</f>
        <v>Caso 1</v>
      </c>
      <c r="X126" s="45" t="str">
        <f>IF(O84&lt;$AE$66,$U$62,IF(O84&gt;$AG$66,$U$64,$U$63))</f>
        <v>Caso 1</v>
      </c>
      <c r="Y126" s="45" t="str">
        <f>IF(P84&lt;$AE$66,$U$62,IF(P84&gt;$AG$66,$U$64,$U$63))</f>
        <v>Caso 1</v>
      </c>
      <c r="Z126" s="47">
        <f>IF(W126=$U$62,$AF$66,IF(W126=$U$63,N84,N84+2*(N84-$AG$66)))</f>
        <v>29.75</v>
      </c>
      <c r="AA126" s="47">
        <f>IF(X126=$U$62,$AF$66,IF(X126=$U$63,O84,O84+2*(O84-$AG$66)))</f>
        <v>29.75</v>
      </c>
      <c r="AB126" s="47">
        <f>IF(Y126=$U$62,$AF$66,IF(Y126=$U$63,P84,P84+2*(P84-$AG$66)))</f>
        <v>29.75</v>
      </c>
      <c r="AC126" s="7">
        <v>31</v>
      </c>
      <c r="AD126" s="6">
        <f t="shared" si="16"/>
        <v>102.9101755885</v>
      </c>
      <c r="AE126" s="6">
        <f>AA126*$AC126*$C$91</f>
        <v>61.746102955250002</v>
      </c>
      <c r="AF126" s="6">
        <f>AB126*$AC126*$C$92</f>
        <v>41.164072633250001</v>
      </c>
    </row>
    <row r="127" spans="21:32" x14ac:dyDescent="0.3">
      <c r="U127" s="7">
        <v>2012</v>
      </c>
      <c r="V127" s="5" t="s">
        <v>17</v>
      </c>
      <c r="W127" s="45" t="str">
        <f>IF(N85&lt;$AE$66,$U$62,IF(N85&gt;$AG$66,$U$64,$U$63))</f>
        <v>Caso 1</v>
      </c>
      <c r="X127" s="45" t="str">
        <f>IF(O85&lt;$AE$66,$U$62,IF(O85&gt;$AG$66,$U$64,$U$63))</f>
        <v>Caso 2</v>
      </c>
      <c r="Y127" s="45" t="str">
        <f>IF(P85&lt;$AE$66,$U$62,IF(P85&gt;$AG$66,$U$64,$U$63))</f>
        <v>Caso 1</v>
      </c>
      <c r="Z127" s="47">
        <f>IF(W127=$U$62,$AF$66,IF(W127=$U$63,N85,N85+2*(N85-$AG$66)))</f>
        <v>29.75</v>
      </c>
      <c r="AA127" s="47">
        <f>IF(X127=$U$62,$AF$66,IF(X127=$U$63,O85,O85+2*(O85-$AG$66)))</f>
        <v>35</v>
      </c>
      <c r="AB127" s="47">
        <f>IF(Y127=$U$62,$AF$66,IF(Y127=$U$63,P85,P85+2*(P85-$AG$66)))</f>
        <v>29.75</v>
      </c>
      <c r="AC127" s="7">
        <v>30</v>
      </c>
      <c r="AD127" s="6">
        <f t="shared" si="16"/>
        <v>99.590492505</v>
      </c>
      <c r="AE127" s="6">
        <f>AA127*$AC127*$C$91</f>
        <v>70.29916845000001</v>
      </c>
      <c r="AF127" s="6">
        <f>AB127*$AC127*$C$92</f>
        <v>39.836199322500001</v>
      </c>
    </row>
    <row r="128" spans="21:32" x14ac:dyDescent="0.3">
      <c r="U128" s="7">
        <v>2012</v>
      </c>
      <c r="V128" s="5" t="s">
        <v>18</v>
      </c>
      <c r="W128" s="45" t="str">
        <f>IF(N86&lt;$AE$66,$U$62,IF(N86&gt;$AG$66,$U$64,$U$63))</f>
        <v>Caso 1</v>
      </c>
      <c r="X128" s="45" t="str">
        <f>IF(O86&lt;$AE$66,$U$62,IF(O86&gt;$AG$66,$U$64,$U$63))</f>
        <v>Caso 1</v>
      </c>
      <c r="Y128" s="45" t="str">
        <f>IF(P86&lt;$AE$66,$U$62,IF(P86&gt;$AG$66,$U$64,$U$63))</f>
        <v>Caso 1</v>
      </c>
      <c r="Z128" s="47">
        <f>IF(W128=$U$62,$AF$66,IF(W128=$U$63,N86,N86+2*(N86-$AG$66)))</f>
        <v>29.75</v>
      </c>
      <c r="AA128" s="47">
        <f>IF(X128=$U$62,$AF$66,IF(X128=$U$63,O86,O86+2*(O86-$AG$66)))</f>
        <v>29.75</v>
      </c>
      <c r="AB128" s="47">
        <f>IF(Y128=$U$62,$AF$66,IF(Y128=$U$63,P86,P86+2*(P86-$AG$66)))</f>
        <v>29.75</v>
      </c>
      <c r="AC128" s="7">
        <v>31</v>
      </c>
      <c r="AD128" s="6">
        <f t="shared" si="16"/>
        <v>102.9101755885</v>
      </c>
      <c r="AE128" s="6">
        <f>AA128*$AC128*$C$91</f>
        <v>61.746102955250002</v>
      </c>
      <c r="AF128" s="6">
        <f>AB128*$AC128*$C$92</f>
        <v>41.164072633250001</v>
      </c>
    </row>
    <row r="129" spans="2:32" x14ac:dyDescent="0.3">
      <c r="U129" s="34">
        <v>2012</v>
      </c>
      <c r="V129" s="18" t="s">
        <v>19</v>
      </c>
      <c r="W129" s="45" t="str">
        <f>IF(N87&lt;$AE$66,$U$62,IF(N87&gt;$AG$66,$U$64,$U$63))</f>
        <v>Caso 1</v>
      </c>
      <c r="X129" s="45" t="str">
        <f>IF(O87&lt;$AE$66,$U$62,IF(O87&gt;$AG$66,$U$64,$U$63))</f>
        <v>Caso 1</v>
      </c>
      <c r="Y129" s="45" t="str">
        <f>IF(P87&lt;$AE$66,$U$62,IF(P87&gt;$AG$66,$U$64,$U$63))</f>
        <v>Caso 1</v>
      </c>
      <c r="Z129" s="47">
        <f>IF(W129=$U$62,$AF$66,IF(W129=$U$63,N87,N87+2*(N87-$AG$66)))</f>
        <v>29.75</v>
      </c>
      <c r="AA129" s="47">
        <f>IF(X129=$U$62,$AF$66,IF(X129=$U$63,O87,O87+2*(O87-$AG$66)))</f>
        <v>29.75</v>
      </c>
      <c r="AB129" s="47">
        <f>IF(Y129=$U$62,$AF$66,IF(Y129=$U$63,P87,P87+2*(P87-$AG$66)))</f>
        <v>29.75</v>
      </c>
      <c r="AC129" s="7">
        <v>31</v>
      </c>
      <c r="AD129" s="6">
        <f t="shared" si="16"/>
        <v>102.9101755885</v>
      </c>
      <c r="AE129" s="6">
        <f>AA129*$AC129*$C$91</f>
        <v>61.746102955250002</v>
      </c>
      <c r="AF129" s="6">
        <f>AB129*$AC129*$C$92</f>
        <v>41.164072633250001</v>
      </c>
    </row>
    <row r="130" spans="2:32" x14ac:dyDescent="0.3">
      <c r="U130" s="34">
        <v>2012</v>
      </c>
      <c r="V130" s="18" t="s">
        <v>20</v>
      </c>
      <c r="W130" s="45" t="str">
        <f>IF(N88&lt;$AE$66,$U$62,IF(N88&gt;$AG$66,$U$64,$U$63))</f>
        <v>Caso 1</v>
      </c>
      <c r="X130" s="45" t="str">
        <f>IF(O88&lt;$AE$66,$U$62,IF(O88&gt;$AG$66,$U$64,$U$63))</f>
        <v>Caso 1</v>
      </c>
      <c r="Y130" s="45" t="str">
        <f>IF(P88&lt;$AE$66,$U$62,IF(P88&gt;$AG$66,$U$64,$U$63))</f>
        <v>Caso 1</v>
      </c>
      <c r="Z130" s="47">
        <f>IF(W130=$U$62,$AF$66,IF(W130=$U$63,N88,N88+2*(N88-$AG$66)))</f>
        <v>29.75</v>
      </c>
      <c r="AA130" s="47">
        <f>IF(X130=$U$62,$AF$66,IF(X130=$U$63,O88,O88+2*(O88-$AG$66)))</f>
        <v>29.75</v>
      </c>
      <c r="AB130" s="47">
        <f>IF(Y130=$U$62,$AF$66,IF(Y130=$U$63,P88,P88+2*(P88-$AG$66)))</f>
        <v>29.75</v>
      </c>
      <c r="AC130" s="7">
        <v>30</v>
      </c>
      <c r="AD130" s="6">
        <f t="shared" si="16"/>
        <v>99.590492505</v>
      </c>
      <c r="AE130" s="6">
        <f>AA130*$AC130*$C$91</f>
        <v>59.754293182500007</v>
      </c>
      <c r="AF130" s="6">
        <f>AB130*$AC130*$C$92</f>
        <v>39.836199322500001</v>
      </c>
    </row>
    <row r="131" spans="2:32" x14ac:dyDescent="0.3">
      <c r="U131" s="34">
        <v>2012</v>
      </c>
      <c r="V131" s="18" t="s">
        <v>21</v>
      </c>
      <c r="W131" s="45" t="str">
        <f>IF(N89&lt;$AE$66,$U$62,IF(N89&gt;$AG$66,$U$64,$U$63))</f>
        <v>Caso 1</v>
      </c>
      <c r="X131" s="45" t="str">
        <f>IF(O89&lt;$AE$66,$U$62,IF(O89&gt;$AG$66,$U$64,$U$63))</f>
        <v>Caso 2</v>
      </c>
      <c r="Y131" s="45" t="str">
        <f>IF(P89&lt;$AE$66,$U$62,IF(P89&gt;$AG$66,$U$64,$U$63))</f>
        <v>Caso 1</v>
      </c>
      <c r="Z131" s="47">
        <f>IF(W131=$U$62,$AF$66,IF(W131=$U$63,N89,N89+2*(N89-$AG$66)))</f>
        <v>29.75</v>
      </c>
      <c r="AA131" s="47">
        <f>IF(X131=$U$62,$AF$66,IF(X131=$U$63,O89,O89+2*(O89-$AG$66)))</f>
        <v>36</v>
      </c>
      <c r="AB131" s="47">
        <f>IF(Y131=$U$62,$AF$66,IF(Y131=$U$63,P89,P89+2*(P89-$AG$66)))</f>
        <v>29.75</v>
      </c>
      <c r="AC131" s="7">
        <v>31</v>
      </c>
      <c r="AD131" s="6">
        <f t="shared" si="16"/>
        <v>102.9101755885</v>
      </c>
      <c r="AE131" s="6">
        <f>AA131*$AC131*$C$91</f>
        <v>74.717973324000013</v>
      </c>
      <c r="AF131" s="6">
        <f>AB131*$AC131*$C$92</f>
        <v>41.164072633250001</v>
      </c>
    </row>
    <row r="132" spans="2:32" x14ac:dyDescent="0.3">
      <c r="U132" s="34">
        <v>2012</v>
      </c>
      <c r="V132" s="18" t="s">
        <v>22</v>
      </c>
      <c r="W132" s="45" t="str">
        <f>IF(N90&lt;$AE$66,$U$62,IF(N90&gt;$AG$66,$U$64,$U$63))</f>
        <v>Caso 3</v>
      </c>
      <c r="X132" s="45" t="str">
        <f>IF(O90&lt;$AE$66,$U$62,IF(O90&gt;$AG$66,$U$64,$U$63))</f>
        <v>Caso 3</v>
      </c>
      <c r="Y132" s="45" t="str">
        <f>IF(P90&lt;$AE$66,$U$62,IF(P90&gt;$AG$66,$U$64,$U$63))</f>
        <v>Caso 1</v>
      </c>
      <c r="Z132" s="47">
        <f>IF(W132=$U$62,$AF$66,IF(W132=$U$63,N90,N90+2*(N90-$AG$66)))</f>
        <v>55.5</v>
      </c>
      <c r="AA132" s="47">
        <f>IF(X132=$U$62,$AF$66,IF(X132=$U$63,O90,O90+2*(O90-$AG$66)))</f>
        <v>67.5</v>
      </c>
      <c r="AB132" s="47">
        <f>IF(Y132=$U$62,$AF$66,IF(Y132=$U$63,P90,P90+2*(P90-$AG$66)))</f>
        <v>29.75</v>
      </c>
      <c r="AC132" s="7">
        <v>30</v>
      </c>
      <c r="AD132" s="51">
        <f t="shared" si="16"/>
        <v>185.79066668999999</v>
      </c>
      <c r="AE132" s="51">
        <f>AA132*$AC132*$C$91</f>
        <v>135.576967725</v>
      </c>
      <c r="AF132" s="51">
        <f>AB132*$AC132*$C$92</f>
        <v>39.836199322500001</v>
      </c>
    </row>
    <row r="133" spans="2:32" x14ac:dyDescent="0.3">
      <c r="AC133" t="s">
        <v>68</v>
      </c>
      <c r="AD133" s="52">
        <f>SUM(AD121:AD132)</f>
        <v>2097.1470208839996</v>
      </c>
      <c r="AE133" s="52">
        <f t="shared" ref="AE133" si="17">SUM(AE121:AE132)</f>
        <v>1634.0037432367506</v>
      </c>
      <c r="AF133" s="52">
        <f t="shared" ref="AF133" si="18">SUM(AF121:AF132)</f>
        <v>781.01267870600009</v>
      </c>
    </row>
    <row r="134" spans="2:32" x14ac:dyDescent="0.3">
      <c r="AC134" t="s">
        <v>69</v>
      </c>
      <c r="AD134" s="6">
        <f>SUM(AD133:AF133)</f>
        <v>4512.1634428267498</v>
      </c>
    </row>
    <row r="136" spans="2:32" ht="21" x14ac:dyDescent="0.4">
      <c r="B136" s="22" t="s">
        <v>6</v>
      </c>
    </row>
    <row r="138" spans="2:32" x14ac:dyDescent="0.3">
      <c r="B138" t="s">
        <v>83</v>
      </c>
    </row>
    <row r="140" spans="2:32" x14ac:dyDescent="0.3">
      <c r="B140" s="13" t="s">
        <v>10</v>
      </c>
      <c r="C140" s="24" t="s">
        <v>9</v>
      </c>
      <c r="D140" s="25" t="s">
        <v>35</v>
      </c>
      <c r="E140" s="25" t="s">
        <v>36</v>
      </c>
      <c r="F140" s="25" t="s">
        <v>37</v>
      </c>
      <c r="G140" s="25" t="s">
        <v>38</v>
      </c>
      <c r="H140" s="25" t="s">
        <v>39</v>
      </c>
      <c r="I140" s="25" t="s">
        <v>40</v>
      </c>
      <c r="J140" s="26" t="s">
        <v>84</v>
      </c>
      <c r="L140" s="25" t="s">
        <v>35</v>
      </c>
      <c r="M140" s="25" t="s">
        <v>36</v>
      </c>
      <c r="N140" s="25" t="s">
        <v>37</v>
      </c>
    </row>
    <row r="141" spans="2:32" x14ac:dyDescent="0.3">
      <c r="B141" s="7">
        <v>2011</v>
      </c>
      <c r="C141" s="5" t="s">
        <v>11</v>
      </c>
      <c r="D141" s="6">
        <v>64707</v>
      </c>
      <c r="E141" s="6">
        <v>188173</v>
      </c>
      <c r="F141" s="6">
        <v>52817</v>
      </c>
      <c r="G141" s="6">
        <v>8360</v>
      </c>
      <c r="H141" s="6">
        <v>22785</v>
      </c>
      <c r="I141" s="6">
        <v>17602</v>
      </c>
      <c r="J141" s="6">
        <f>SUM(D141:I141)</f>
        <v>354444</v>
      </c>
      <c r="L141" s="6">
        <f>D143+G143</f>
        <v>20391</v>
      </c>
      <c r="M141" s="6">
        <f t="shared" ref="M141:N141" si="19">E143+H143</f>
        <v>71316</v>
      </c>
      <c r="N141" s="6">
        <f t="shared" si="19"/>
        <v>26490</v>
      </c>
      <c r="O141" s="6">
        <f>SUM(L141:N141)</f>
        <v>118197</v>
      </c>
    </row>
    <row r="142" spans="2:32" x14ac:dyDescent="0.3">
      <c r="B142" s="34">
        <v>2012</v>
      </c>
      <c r="C142" s="18" t="s">
        <v>22</v>
      </c>
      <c r="D142" s="6">
        <v>82098</v>
      </c>
      <c r="E142" s="6">
        <v>250817</v>
      </c>
      <c r="F142" s="6">
        <v>72549</v>
      </c>
      <c r="G142" s="6">
        <v>11360</v>
      </c>
      <c r="H142" s="6">
        <v>31457</v>
      </c>
      <c r="I142" s="6">
        <v>24360</v>
      </c>
      <c r="J142" s="6">
        <f>SUM(D142:I142)</f>
        <v>472641</v>
      </c>
    </row>
    <row r="143" spans="2:32" x14ac:dyDescent="0.3">
      <c r="D143" s="58">
        <f t="shared" ref="D143:I143" si="20">D142-D141</f>
        <v>17391</v>
      </c>
      <c r="E143" s="58">
        <f t="shared" si="20"/>
        <v>62644</v>
      </c>
      <c r="F143" s="58">
        <f t="shared" si="20"/>
        <v>19732</v>
      </c>
      <c r="G143" s="58">
        <f t="shared" si="20"/>
        <v>3000</v>
      </c>
      <c r="H143" s="58">
        <f t="shared" si="20"/>
        <v>8672</v>
      </c>
      <c r="I143" s="58">
        <f t="shared" si="20"/>
        <v>6758</v>
      </c>
      <c r="J143" s="57">
        <f>J142-J141</f>
        <v>118197</v>
      </c>
    </row>
    <row r="170" spans="2:15" x14ac:dyDescent="0.3">
      <c r="C170" s="59" t="s">
        <v>85</v>
      </c>
      <c r="D170" s="59" t="s">
        <v>86</v>
      </c>
      <c r="E170" s="59" t="s">
        <v>87</v>
      </c>
      <c r="F170" s="59" t="s">
        <v>88</v>
      </c>
      <c r="G170" s="59" t="s">
        <v>89</v>
      </c>
      <c r="H170" s="59" t="s">
        <v>90</v>
      </c>
      <c r="I170" s="59" t="s">
        <v>91</v>
      </c>
      <c r="M170" s="60"/>
    </row>
    <row r="171" spans="2:15" ht="34.200000000000003" x14ac:dyDescent="0.3">
      <c r="B171" s="61"/>
      <c r="C171" s="62" t="s">
        <v>92</v>
      </c>
      <c r="D171" s="62" t="s">
        <v>93</v>
      </c>
      <c r="E171" s="62" t="s">
        <v>94</v>
      </c>
      <c r="F171" s="62" t="s">
        <v>95</v>
      </c>
      <c r="G171" s="62" t="s">
        <v>96</v>
      </c>
      <c r="H171" s="62" t="s">
        <v>97</v>
      </c>
      <c r="I171" s="62" t="s">
        <v>98</v>
      </c>
      <c r="J171" s="62" t="s">
        <v>99</v>
      </c>
      <c r="K171" s="61"/>
      <c r="M171" s="62" t="s">
        <v>100</v>
      </c>
      <c r="N171" s="62" t="s">
        <v>101</v>
      </c>
    </row>
    <row r="172" spans="2:15" ht="79.2" x14ac:dyDescent="0.3">
      <c r="B172" s="61"/>
      <c r="C172" s="63" t="s">
        <v>102</v>
      </c>
      <c r="D172" s="63" t="s">
        <v>103</v>
      </c>
      <c r="E172" s="64">
        <v>15266.8642578125</v>
      </c>
      <c r="F172" s="65">
        <v>15266.8642578125</v>
      </c>
      <c r="G172" s="66" t="s">
        <v>104</v>
      </c>
      <c r="H172" s="66" t="s">
        <v>105</v>
      </c>
      <c r="I172" s="65">
        <v>527.16717529296875</v>
      </c>
      <c r="J172" s="66" t="s">
        <v>106</v>
      </c>
      <c r="K172" s="61"/>
      <c r="M172" s="67">
        <f>E172+F172</f>
        <v>30533.728515625</v>
      </c>
      <c r="N172" s="67">
        <f>IF(I172="No",M172,E172+F172+I172)</f>
        <v>31060.895690917969</v>
      </c>
      <c r="O172" t="s">
        <v>201</v>
      </c>
    </row>
    <row r="173" spans="2:15" ht="66" x14ac:dyDescent="0.3">
      <c r="B173" s="61"/>
      <c r="C173" s="63" t="s">
        <v>107</v>
      </c>
      <c r="D173" s="63" t="s">
        <v>108</v>
      </c>
      <c r="E173" s="64">
        <v>15566.4228515625</v>
      </c>
      <c r="F173" s="65">
        <v>15566.4228515625</v>
      </c>
      <c r="G173" s="66" t="s">
        <v>109</v>
      </c>
      <c r="H173" s="66" t="s">
        <v>105</v>
      </c>
      <c r="I173" s="65">
        <v>498.05575561523437</v>
      </c>
      <c r="J173" s="66" t="s">
        <v>106</v>
      </c>
      <c r="K173" s="61"/>
      <c r="M173" s="68">
        <f t="shared" ref="M173:M225" si="21">E173+F173</f>
        <v>31132.845703125</v>
      </c>
      <c r="N173" s="68">
        <f t="shared" ref="N173:N225" si="22">IF(I173="No",M173,E173+F173+I173)</f>
        <v>31630.901458740234</v>
      </c>
    </row>
    <row r="174" spans="2:15" ht="66" x14ac:dyDescent="0.3">
      <c r="B174" s="61"/>
      <c r="C174" s="63" t="s">
        <v>110</v>
      </c>
      <c r="D174" s="63" t="s">
        <v>111</v>
      </c>
      <c r="E174" s="64">
        <v>15813.267578125</v>
      </c>
      <c r="F174" s="65">
        <v>15813.267578125</v>
      </c>
      <c r="G174" s="66" t="s">
        <v>104</v>
      </c>
      <c r="H174" s="66" t="s">
        <v>105</v>
      </c>
      <c r="I174" s="66" t="s">
        <v>106</v>
      </c>
      <c r="J174" s="66" t="s">
        <v>112</v>
      </c>
      <c r="K174" s="61"/>
      <c r="M174" s="69">
        <f t="shared" si="21"/>
        <v>31626.53515625</v>
      </c>
      <c r="N174" s="69">
        <f t="shared" si="22"/>
        <v>31626.53515625</v>
      </c>
      <c r="O174" t="s">
        <v>202</v>
      </c>
    </row>
    <row r="175" spans="2:15" ht="66" x14ac:dyDescent="0.3">
      <c r="B175" s="61"/>
      <c r="C175" s="63" t="s">
        <v>113</v>
      </c>
      <c r="D175" s="63" t="s">
        <v>114</v>
      </c>
      <c r="E175" s="64">
        <v>15941.0400390625</v>
      </c>
      <c r="F175" s="65">
        <v>15941.0400390625</v>
      </c>
      <c r="G175" s="66" t="s">
        <v>104</v>
      </c>
      <c r="H175" s="66" t="s">
        <v>105</v>
      </c>
      <c r="I175" s="66" t="s">
        <v>106</v>
      </c>
      <c r="J175" s="66" t="s">
        <v>112</v>
      </c>
      <c r="K175" s="61"/>
      <c r="M175" s="68">
        <f t="shared" si="21"/>
        <v>31882.080078125</v>
      </c>
      <c r="N175" s="68">
        <f t="shared" si="22"/>
        <v>31882.080078125</v>
      </c>
    </row>
    <row r="176" spans="2:15" ht="66" x14ac:dyDescent="0.3">
      <c r="B176" s="61"/>
      <c r="C176" s="63" t="s">
        <v>115</v>
      </c>
      <c r="D176" s="63" t="s">
        <v>116</v>
      </c>
      <c r="E176" s="64">
        <v>16289.95703125</v>
      </c>
      <c r="F176" s="65">
        <v>16289.95703125</v>
      </c>
      <c r="G176" s="66" t="s">
        <v>104</v>
      </c>
      <c r="H176" s="66" t="s">
        <v>105</v>
      </c>
      <c r="I176" s="65">
        <v>529.5899658203125</v>
      </c>
      <c r="J176" s="66" t="s">
        <v>112</v>
      </c>
      <c r="K176" s="61"/>
      <c r="M176" s="68">
        <f t="shared" si="21"/>
        <v>32579.9140625</v>
      </c>
      <c r="N176" s="68">
        <f t="shared" si="22"/>
        <v>33109.504028320313</v>
      </c>
    </row>
    <row r="177" spans="2:14" ht="79.2" x14ac:dyDescent="0.3">
      <c r="B177" s="61"/>
      <c r="C177" s="63" t="s">
        <v>117</v>
      </c>
      <c r="D177" s="63" t="s">
        <v>118</v>
      </c>
      <c r="E177" s="64">
        <v>16458.697265625</v>
      </c>
      <c r="F177" s="65">
        <v>16458.697265625</v>
      </c>
      <c r="G177" s="66" t="s">
        <v>119</v>
      </c>
      <c r="H177" s="66" t="s">
        <v>105</v>
      </c>
      <c r="I177" s="65">
        <v>534.7440185546875</v>
      </c>
      <c r="J177" s="66" t="s">
        <v>106</v>
      </c>
      <c r="K177" s="61"/>
      <c r="M177" s="68">
        <f t="shared" si="21"/>
        <v>32917.39453125</v>
      </c>
      <c r="N177" s="68">
        <f t="shared" si="22"/>
        <v>33452.138549804688</v>
      </c>
    </row>
    <row r="178" spans="2:14" ht="66" x14ac:dyDescent="0.3">
      <c r="B178" s="61"/>
      <c r="C178" s="63" t="s">
        <v>120</v>
      </c>
      <c r="D178" s="63" t="s">
        <v>121</v>
      </c>
      <c r="E178" s="64">
        <v>16802.26953125</v>
      </c>
      <c r="F178" s="65">
        <v>16802.26953125</v>
      </c>
      <c r="G178" s="66" t="s">
        <v>104</v>
      </c>
      <c r="H178" s="66" t="s">
        <v>105</v>
      </c>
      <c r="I178" s="65">
        <v>551.943359375</v>
      </c>
      <c r="J178" s="66" t="s">
        <v>112</v>
      </c>
      <c r="K178" s="61"/>
      <c r="M178" s="68">
        <f t="shared" si="21"/>
        <v>33604.5390625</v>
      </c>
      <c r="N178" s="68">
        <f t="shared" si="22"/>
        <v>34156.482421875</v>
      </c>
    </row>
    <row r="179" spans="2:14" ht="105.6" x14ac:dyDescent="0.3">
      <c r="B179" s="61"/>
      <c r="C179" s="63" t="s">
        <v>122</v>
      </c>
      <c r="D179" s="63" t="s">
        <v>123</v>
      </c>
      <c r="E179" s="64">
        <v>16815.080078125</v>
      </c>
      <c r="F179" s="65">
        <v>16815.080078125</v>
      </c>
      <c r="G179" s="66" t="s">
        <v>124</v>
      </c>
      <c r="H179" s="66" t="s">
        <v>105</v>
      </c>
      <c r="I179" s="66" t="s">
        <v>106</v>
      </c>
      <c r="J179" s="66" t="s">
        <v>106</v>
      </c>
      <c r="K179" s="61"/>
      <c r="M179" s="68">
        <f t="shared" si="21"/>
        <v>33630.16015625</v>
      </c>
      <c r="N179" s="68">
        <f t="shared" si="22"/>
        <v>33630.16015625</v>
      </c>
    </row>
    <row r="180" spans="2:14" ht="66" x14ac:dyDescent="0.3">
      <c r="B180" s="61"/>
      <c r="C180" s="63" t="s">
        <v>125</v>
      </c>
      <c r="D180" s="63" t="s">
        <v>126</v>
      </c>
      <c r="E180" s="64">
        <v>16818.857421875</v>
      </c>
      <c r="F180" s="65">
        <v>16818.857421875</v>
      </c>
      <c r="G180" s="66" t="s">
        <v>104</v>
      </c>
      <c r="H180" s="66" t="s">
        <v>105</v>
      </c>
      <c r="I180" s="65">
        <v>551.42547607421875</v>
      </c>
      <c r="J180" s="66" t="s">
        <v>106</v>
      </c>
      <c r="K180" s="61"/>
      <c r="M180" s="68">
        <f t="shared" si="21"/>
        <v>33637.71484375</v>
      </c>
      <c r="N180" s="68">
        <f t="shared" si="22"/>
        <v>34189.140319824219</v>
      </c>
    </row>
    <row r="181" spans="2:14" ht="92.4" x14ac:dyDescent="0.3">
      <c r="B181" s="61"/>
      <c r="C181" s="63" t="s">
        <v>127</v>
      </c>
      <c r="D181" s="63" t="s">
        <v>128</v>
      </c>
      <c r="E181" s="64">
        <v>16906.3359375</v>
      </c>
      <c r="F181" s="65">
        <v>16906.3359375</v>
      </c>
      <c r="G181" s="66" t="s">
        <v>104</v>
      </c>
      <c r="H181" s="66" t="s">
        <v>105</v>
      </c>
      <c r="I181" s="66" t="s">
        <v>106</v>
      </c>
      <c r="J181" s="66" t="s">
        <v>112</v>
      </c>
      <c r="K181" s="61"/>
      <c r="M181" s="68">
        <f t="shared" si="21"/>
        <v>33812.671875</v>
      </c>
      <c r="N181" s="68">
        <f t="shared" si="22"/>
        <v>33812.671875</v>
      </c>
    </row>
    <row r="182" spans="2:14" ht="66" x14ac:dyDescent="0.3">
      <c r="B182" s="61"/>
      <c r="C182" s="63" t="s">
        <v>129</v>
      </c>
      <c r="D182" s="63" t="s">
        <v>130</v>
      </c>
      <c r="E182" s="64">
        <v>16955.9375</v>
      </c>
      <c r="F182" s="65">
        <v>16955.9375</v>
      </c>
      <c r="G182" s="66" t="s">
        <v>104</v>
      </c>
      <c r="H182" s="66" t="s">
        <v>105</v>
      </c>
      <c r="I182" s="66" t="s">
        <v>106</v>
      </c>
      <c r="J182" s="66" t="s">
        <v>112</v>
      </c>
      <c r="K182" s="61"/>
      <c r="M182" s="68">
        <f t="shared" si="21"/>
        <v>33911.875</v>
      </c>
      <c r="N182" s="68">
        <f t="shared" si="22"/>
        <v>33911.875</v>
      </c>
    </row>
    <row r="183" spans="2:14" ht="66" x14ac:dyDescent="0.3">
      <c r="B183" s="61"/>
      <c r="C183" s="63" t="s">
        <v>131</v>
      </c>
      <c r="D183" s="63" t="s">
        <v>132</v>
      </c>
      <c r="E183" s="64">
        <v>17006.98828125</v>
      </c>
      <c r="F183" s="65">
        <v>17006.98828125</v>
      </c>
      <c r="G183" s="66" t="s">
        <v>104</v>
      </c>
      <c r="H183" s="66" t="s">
        <v>105</v>
      </c>
      <c r="I183" s="66" t="s">
        <v>106</v>
      </c>
      <c r="J183" s="66" t="s">
        <v>112</v>
      </c>
      <c r="K183" s="61"/>
      <c r="M183" s="68">
        <f t="shared" si="21"/>
        <v>34013.9765625</v>
      </c>
      <c r="N183" s="68">
        <f t="shared" si="22"/>
        <v>34013.9765625</v>
      </c>
    </row>
    <row r="184" spans="2:14" ht="79.2" x14ac:dyDescent="0.3">
      <c r="B184" s="61"/>
      <c r="C184" s="63" t="s">
        <v>133</v>
      </c>
      <c r="D184" s="63" t="s">
        <v>134</v>
      </c>
      <c r="E184" s="64">
        <v>17043.43359375</v>
      </c>
      <c r="F184" s="65">
        <v>17043.43359375</v>
      </c>
      <c r="G184" s="66" t="s">
        <v>124</v>
      </c>
      <c r="H184" s="66" t="s">
        <v>105</v>
      </c>
      <c r="I184" s="66" t="s">
        <v>106</v>
      </c>
      <c r="J184" s="66" t="s">
        <v>112</v>
      </c>
      <c r="K184" s="61"/>
      <c r="M184" s="68">
        <f t="shared" si="21"/>
        <v>34086.8671875</v>
      </c>
      <c r="N184" s="68">
        <f t="shared" si="22"/>
        <v>34086.8671875</v>
      </c>
    </row>
    <row r="185" spans="2:14" ht="66" x14ac:dyDescent="0.3">
      <c r="B185" s="61"/>
      <c r="C185" s="63" t="s">
        <v>135</v>
      </c>
      <c r="D185" s="63" t="s">
        <v>136</v>
      </c>
      <c r="E185" s="64">
        <v>17136.55859375</v>
      </c>
      <c r="F185" s="65">
        <v>17168.35546875</v>
      </c>
      <c r="G185" s="66" t="s">
        <v>109</v>
      </c>
      <c r="H185" s="66" t="s">
        <v>105</v>
      </c>
      <c r="I185" s="65">
        <v>578.60955810546875</v>
      </c>
      <c r="J185" s="66" t="s">
        <v>106</v>
      </c>
      <c r="K185" s="61"/>
      <c r="M185" s="68">
        <f t="shared" si="21"/>
        <v>34304.9140625</v>
      </c>
      <c r="N185" s="68">
        <f t="shared" si="22"/>
        <v>34883.523620605469</v>
      </c>
    </row>
    <row r="186" spans="2:14" ht="66" x14ac:dyDescent="0.3">
      <c r="B186" s="61"/>
      <c r="C186" s="63" t="s">
        <v>137</v>
      </c>
      <c r="D186" s="63" t="s">
        <v>138</v>
      </c>
      <c r="E186" s="64">
        <v>17142.76953125</v>
      </c>
      <c r="F186" s="65">
        <v>17142.76953125</v>
      </c>
      <c r="G186" s="66" t="s">
        <v>104</v>
      </c>
      <c r="H186" s="66" t="s">
        <v>105</v>
      </c>
      <c r="I186" s="66" t="s">
        <v>106</v>
      </c>
      <c r="J186" s="66" t="s">
        <v>112</v>
      </c>
      <c r="K186" s="61"/>
      <c r="M186" s="68">
        <f t="shared" si="21"/>
        <v>34285.5390625</v>
      </c>
      <c r="N186" s="68">
        <f t="shared" si="22"/>
        <v>34285.5390625</v>
      </c>
    </row>
    <row r="187" spans="2:14" ht="66" x14ac:dyDescent="0.3">
      <c r="B187" s="61"/>
      <c r="C187" s="63" t="s">
        <v>135</v>
      </c>
      <c r="D187" s="63" t="s">
        <v>136</v>
      </c>
      <c r="E187" s="64">
        <v>17168.35546875</v>
      </c>
      <c r="F187" s="65">
        <v>17168.35546875</v>
      </c>
      <c r="G187" s="66" t="s">
        <v>104</v>
      </c>
      <c r="H187" s="66" t="s">
        <v>105</v>
      </c>
      <c r="I187" s="66" t="s">
        <v>106</v>
      </c>
      <c r="J187" s="66" t="s">
        <v>106</v>
      </c>
      <c r="K187" s="61"/>
      <c r="M187" s="68">
        <f t="shared" si="21"/>
        <v>34336.7109375</v>
      </c>
      <c r="N187" s="68">
        <f t="shared" si="22"/>
        <v>34336.7109375</v>
      </c>
    </row>
    <row r="188" spans="2:14" ht="66" x14ac:dyDescent="0.3">
      <c r="B188" s="61"/>
      <c r="C188" s="63" t="s">
        <v>135</v>
      </c>
      <c r="D188" s="63" t="s">
        <v>139</v>
      </c>
      <c r="E188" s="64">
        <v>17238.873046875</v>
      </c>
      <c r="F188" s="65">
        <v>17270.66796875</v>
      </c>
      <c r="G188" s="66" t="s">
        <v>109</v>
      </c>
      <c r="H188" s="66" t="s">
        <v>105</v>
      </c>
      <c r="I188" s="65">
        <v>576.34783935546875</v>
      </c>
      <c r="J188" s="66" t="s">
        <v>106</v>
      </c>
      <c r="K188" s="61"/>
      <c r="M188" s="68">
        <f t="shared" si="21"/>
        <v>34509.541015625</v>
      </c>
      <c r="N188" s="68">
        <f t="shared" si="22"/>
        <v>35085.888854980469</v>
      </c>
    </row>
    <row r="189" spans="2:14" ht="79.2" x14ac:dyDescent="0.3">
      <c r="B189" s="61"/>
      <c r="C189" s="63" t="s">
        <v>140</v>
      </c>
      <c r="D189" s="63" t="s">
        <v>141</v>
      </c>
      <c r="E189" s="64">
        <v>17251.484375</v>
      </c>
      <c r="F189" s="65">
        <v>17251.484375</v>
      </c>
      <c r="G189" s="66" t="s">
        <v>124</v>
      </c>
      <c r="H189" s="66" t="s">
        <v>105</v>
      </c>
      <c r="I189" s="65">
        <v>672.38934326171875</v>
      </c>
      <c r="J189" s="66" t="s">
        <v>112</v>
      </c>
      <c r="K189" s="61"/>
      <c r="M189" s="68">
        <f t="shared" si="21"/>
        <v>34502.96875</v>
      </c>
      <c r="N189" s="68">
        <f t="shared" si="22"/>
        <v>35175.358093261719</v>
      </c>
    </row>
    <row r="190" spans="2:14" ht="66" x14ac:dyDescent="0.3">
      <c r="B190" s="61"/>
      <c r="C190" s="63" t="s">
        <v>135</v>
      </c>
      <c r="D190" s="63" t="s">
        <v>139</v>
      </c>
      <c r="E190" s="64">
        <v>17270.66796875</v>
      </c>
      <c r="F190" s="65">
        <v>17270.66796875</v>
      </c>
      <c r="G190" s="66" t="s">
        <v>104</v>
      </c>
      <c r="H190" s="66" t="s">
        <v>105</v>
      </c>
      <c r="I190" s="66" t="s">
        <v>106</v>
      </c>
      <c r="J190" s="66" t="s">
        <v>106</v>
      </c>
      <c r="K190" s="61"/>
      <c r="M190" s="68">
        <f t="shared" si="21"/>
        <v>34541.3359375</v>
      </c>
      <c r="N190" s="68">
        <f t="shared" si="22"/>
        <v>34541.3359375</v>
      </c>
    </row>
    <row r="191" spans="2:14" ht="92.4" x14ac:dyDescent="0.3">
      <c r="B191" s="61"/>
      <c r="C191" s="63" t="s">
        <v>142</v>
      </c>
      <c r="D191" s="63" t="s">
        <v>143</v>
      </c>
      <c r="E191" s="64">
        <v>17378.94921875</v>
      </c>
      <c r="F191" s="65">
        <v>17378.94921875</v>
      </c>
      <c r="G191" s="66" t="s">
        <v>104</v>
      </c>
      <c r="H191" s="66" t="s">
        <v>105</v>
      </c>
      <c r="I191" s="66" t="s">
        <v>106</v>
      </c>
      <c r="J191" s="66" t="s">
        <v>112</v>
      </c>
      <c r="K191" s="61"/>
      <c r="M191" s="68">
        <f t="shared" si="21"/>
        <v>34757.8984375</v>
      </c>
      <c r="N191" s="68">
        <f t="shared" si="22"/>
        <v>34757.8984375</v>
      </c>
    </row>
    <row r="192" spans="2:14" ht="66" x14ac:dyDescent="0.3">
      <c r="B192" s="61"/>
      <c r="C192" s="63" t="s">
        <v>137</v>
      </c>
      <c r="D192" s="63" t="s">
        <v>144</v>
      </c>
      <c r="E192" s="64">
        <v>17379.23046875</v>
      </c>
      <c r="F192" s="65">
        <v>17379.23046875</v>
      </c>
      <c r="G192" s="66" t="s">
        <v>104</v>
      </c>
      <c r="H192" s="66" t="s">
        <v>105</v>
      </c>
      <c r="I192" s="66" t="s">
        <v>106</v>
      </c>
      <c r="J192" s="66" t="s">
        <v>112</v>
      </c>
      <c r="K192" s="61"/>
      <c r="M192" s="68">
        <f t="shared" si="21"/>
        <v>34758.4609375</v>
      </c>
      <c r="N192" s="68">
        <f t="shared" si="22"/>
        <v>34758.4609375</v>
      </c>
    </row>
    <row r="193" spans="2:14" ht="66" x14ac:dyDescent="0.3">
      <c r="B193" s="61"/>
      <c r="C193" s="63" t="s">
        <v>145</v>
      </c>
      <c r="D193" s="63" t="s">
        <v>146</v>
      </c>
      <c r="E193" s="64">
        <v>17393.744140625</v>
      </c>
      <c r="F193" s="65">
        <v>17393.744140625</v>
      </c>
      <c r="G193" s="66" t="s">
        <v>104</v>
      </c>
      <c r="H193" s="66" t="s">
        <v>105</v>
      </c>
      <c r="I193" s="66" t="s">
        <v>106</v>
      </c>
      <c r="J193" s="66" t="s">
        <v>112</v>
      </c>
      <c r="K193" s="61"/>
      <c r="M193" s="68">
        <f t="shared" si="21"/>
        <v>34787.48828125</v>
      </c>
      <c r="N193" s="68">
        <f t="shared" si="22"/>
        <v>34787.48828125</v>
      </c>
    </row>
    <row r="194" spans="2:14" ht="66" x14ac:dyDescent="0.3">
      <c r="B194" s="61"/>
      <c r="C194" s="63" t="s">
        <v>135</v>
      </c>
      <c r="D194" s="63" t="s">
        <v>147</v>
      </c>
      <c r="E194" s="64">
        <v>17580.828125</v>
      </c>
      <c r="F194" s="65">
        <v>17612.623046875</v>
      </c>
      <c r="G194" s="66" t="s">
        <v>109</v>
      </c>
      <c r="H194" s="66" t="s">
        <v>105</v>
      </c>
      <c r="I194" s="65">
        <v>591.7196044921875</v>
      </c>
      <c r="J194" s="66" t="s">
        <v>112</v>
      </c>
      <c r="K194" s="61"/>
      <c r="M194" s="68">
        <f t="shared" si="21"/>
        <v>35193.451171875</v>
      </c>
      <c r="N194" s="68">
        <f t="shared" si="22"/>
        <v>35785.170776367188</v>
      </c>
    </row>
    <row r="195" spans="2:14" ht="66" x14ac:dyDescent="0.3">
      <c r="B195" s="61"/>
      <c r="C195" s="63" t="s">
        <v>148</v>
      </c>
      <c r="D195" s="63" t="s">
        <v>149</v>
      </c>
      <c r="E195" s="64">
        <v>17606.201171875</v>
      </c>
      <c r="F195" s="65">
        <v>17606.201171875</v>
      </c>
      <c r="G195" s="66" t="s">
        <v>109</v>
      </c>
      <c r="H195" s="66" t="s">
        <v>105</v>
      </c>
      <c r="I195" s="66" t="s">
        <v>106</v>
      </c>
      <c r="J195" s="66" t="s">
        <v>106</v>
      </c>
      <c r="K195" s="61"/>
      <c r="M195" s="68">
        <f t="shared" si="21"/>
        <v>35212.40234375</v>
      </c>
      <c r="N195" s="68">
        <f t="shared" si="22"/>
        <v>35212.40234375</v>
      </c>
    </row>
    <row r="196" spans="2:14" ht="66" x14ac:dyDescent="0.3">
      <c r="B196" s="61"/>
      <c r="C196" s="63" t="s">
        <v>135</v>
      </c>
      <c r="D196" s="63" t="s">
        <v>147</v>
      </c>
      <c r="E196" s="64">
        <v>17612.623046875</v>
      </c>
      <c r="F196" s="65">
        <v>17612.623046875</v>
      </c>
      <c r="G196" s="66" t="s">
        <v>104</v>
      </c>
      <c r="H196" s="66" t="s">
        <v>105</v>
      </c>
      <c r="I196" s="66" t="s">
        <v>106</v>
      </c>
      <c r="J196" s="66" t="s">
        <v>112</v>
      </c>
      <c r="K196" s="61"/>
      <c r="M196" s="68">
        <f t="shared" si="21"/>
        <v>35225.24609375</v>
      </c>
      <c r="N196" s="68">
        <f t="shared" si="22"/>
        <v>35225.24609375</v>
      </c>
    </row>
    <row r="197" spans="2:14" ht="79.2" x14ac:dyDescent="0.3">
      <c r="B197" s="61"/>
      <c r="C197" s="63" t="s">
        <v>150</v>
      </c>
      <c r="D197" s="63" t="s">
        <v>151</v>
      </c>
      <c r="E197" s="64">
        <v>17639.677734375</v>
      </c>
      <c r="F197" s="65">
        <v>17639.677734375</v>
      </c>
      <c r="G197" s="66" t="s">
        <v>124</v>
      </c>
      <c r="H197" s="66" t="s">
        <v>105</v>
      </c>
      <c r="I197" s="65">
        <v>568.49267578125</v>
      </c>
      <c r="J197" s="66" t="s">
        <v>106</v>
      </c>
      <c r="K197" s="61"/>
      <c r="M197" s="68">
        <f t="shared" si="21"/>
        <v>35279.35546875</v>
      </c>
      <c r="N197" s="68">
        <f t="shared" si="22"/>
        <v>35847.84814453125</v>
      </c>
    </row>
    <row r="198" spans="2:14" ht="66" x14ac:dyDescent="0.3">
      <c r="B198" s="61"/>
      <c r="C198" s="63" t="s">
        <v>152</v>
      </c>
      <c r="D198" s="63" t="s">
        <v>153</v>
      </c>
      <c r="E198" s="64">
        <v>17847.29296875</v>
      </c>
      <c r="F198" s="65">
        <v>17878.822265625</v>
      </c>
      <c r="G198" s="66" t="s">
        <v>104</v>
      </c>
      <c r="H198" s="66" t="s">
        <v>105</v>
      </c>
      <c r="I198" s="66" t="s">
        <v>106</v>
      </c>
      <c r="J198" s="66" t="s">
        <v>112</v>
      </c>
      <c r="K198" s="61"/>
      <c r="M198" s="68">
        <f t="shared" si="21"/>
        <v>35726.115234375</v>
      </c>
      <c r="N198" s="68">
        <f t="shared" si="22"/>
        <v>35726.115234375</v>
      </c>
    </row>
    <row r="199" spans="2:14" ht="92.4" x14ac:dyDescent="0.3">
      <c r="B199" s="61"/>
      <c r="C199" s="63" t="s">
        <v>142</v>
      </c>
      <c r="D199" s="63" t="s">
        <v>154</v>
      </c>
      <c r="E199" s="64">
        <v>17920.90234375</v>
      </c>
      <c r="F199" s="65">
        <v>17920.90234375</v>
      </c>
      <c r="G199" s="66" t="s">
        <v>104</v>
      </c>
      <c r="H199" s="66" t="s">
        <v>105</v>
      </c>
      <c r="I199" s="66" t="s">
        <v>106</v>
      </c>
      <c r="J199" s="66" t="s">
        <v>112</v>
      </c>
      <c r="K199" s="61"/>
      <c r="M199" s="68">
        <f t="shared" si="21"/>
        <v>35841.8046875</v>
      </c>
      <c r="N199" s="68">
        <f t="shared" si="22"/>
        <v>35841.8046875</v>
      </c>
    </row>
    <row r="200" spans="2:14" ht="66" x14ac:dyDescent="0.3">
      <c r="B200" s="61"/>
      <c r="C200" s="63" t="s">
        <v>155</v>
      </c>
      <c r="D200" s="63" t="s">
        <v>156</v>
      </c>
      <c r="E200" s="64">
        <v>17920.921875</v>
      </c>
      <c r="F200" s="65">
        <v>17920.921875</v>
      </c>
      <c r="G200" s="66" t="s">
        <v>104</v>
      </c>
      <c r="H200" s="66" t="s">
        <v>105</v>
      </c>
      <c r="I200" s="66" t="s">
        <v>106</v>
      </c>
      <c r="J200" s="66" t="s">
        <v>112</v>
      </c>
      <c r="K200" s="61"/>
      <c r="M200" s="68">
        <f t="shared" si="21"/>
        <v>35841.84375</v>
      </c>
      <c r="N200" s="68">
        <f t="shared" si="22"/>
        <v>35841.84375</v>
      </c>
    </row>
    <row r="201" spans="2:14" ht="66" x14ac:dyDescent="0.3">
      <c r="B201" s="61"/>
      <c r="C201" s="63" t="s">
        <v>157</v>
      </c>
      <c r="D201" s="63" t="s">
        <v>158</v>
      </c>
      <c r="E201" s="64">
        <v>17920.921875</v>
      </c>
      <c r="F201" s="65">
        <v>17920.921875</v>
      </c>
      <c r="G201" s="66" t="s">
        <v>104</v>
      </c>
      <c r="H201" s="66" t="s">
        <v>105</v>
      </c>
      <c r="I201" s="66" t="s">
        <v>106</v>
      </c>
      <c r="J201" s="66" t="s">
        <v>112</v>
      </c>
      <c r="K201" s="61"/>
      <c r="M201" s="68">
        <f t="shared" si="21"/>
        <v>35841.84375</v>
      </c>
      <c r="N201" s="68">
        <f t="shared" si="22"/>
        <v>35841.84375</v>
      </c>
    </row>
    <row r="202" spans="2:14" ht="66" x14ac:dyDescent="0.3">
      <c r="B202" s="61"/>
      <c r="C202" s="63" t="s">
        <v>152</v>
      </c>
      <c r="D202" s="63" t="s">
        <v>159</v>
      </c>
      <c r="E202" s="64">
        <v>17949.04296875</v>
      </c>
      <c r="F202" s="65">
        <v>17980.572265625</v>
      </c>
      <c r="G202" s="66" t="s">
        <v>104</v>
      </c>
      <c r="H202" s="66" t="s">
        <v>105</v>
      </c>
      <c r="I202" s="66" t="s">
        <v>106</v>
      </c>
      <c r="J202" s="66" t="s">
        <v>112</v>
      </c>
      <c r="K202" s="61"/>
      <c r="M202" s="68">
        <f t="shared" si="21"/>
        <v>35929.615234375</v>
      </c>
      <c r="N202" s="68">
        <f t="shared" si="22"/>
        <v>35929.615234375</v>
      </c>
    </row>
    <row r="203" spans="2:14" ht="66" x14ac:dyDescent="0.3">
      <c r="B203" s="61"/>
      <c r="C203" s="63" t="s">
        <v>160</v>
      </c>
      <c r="D203" s="63" t="s">
        <v>161</v>
      </c>
      <c r="E203" s="64">
        <v>17958.65234375</v>
      </c>
      <c r="F203" s="65">
        <v>17958.65234375</v>
      </c>
      <c r="G203" s="66" t="s">
        <v>104</v>
      </c>
      <c r="H203" s="66" t="s">
        <v>105</v>
      </c>
      <c r="I203" s="66" t="s">
        <v>106</v>
      </c>
      <c r="J203" s="66" t="s">
        <v>112</v>
      </c>
      <c r="K203" s="61"/>
      <c r="M203" s="68">
        <f t="shared" si="21"/>
        <v>35917.3046875</v>
      </c>
      <c r="N203" s="68">
        <f t="shared" si="22"/>
        <v>35917.3046875</v>
      </c>
    </row>
    <row r="204" spans="2:14" ht="79.2" x14ac:dyDescent="0.3">
      <c r="B204" s="61"/>
      <c r="C204" s="63" t="s">
        <v>162</v>
      </c>
      <c r="D204" s="63" t="s">
        <v>163</v>
      </c>
      <c r="E204" s="64">
        <v>18074.2109375</v>
      </c>
      <c r="F204" s="65">
        <v>18074.2109375</v>
      </c>
      <c r="G204" s="66" t="s">
        <v>124</v>
      </c>
      <c r="H204" s="66" t="s">
        <v>105</v>
      </c>
      <c r="I204" s="65">
        <v>854.91143798828125</v>
      </c>
      <c r="J204" s="66" t="s">
        <v>106</v>
      </c>
      <c r="K204" s="61"/>
      <c r="M204" s="68">
        <f t="shared" si="21"/>
        <v>36148.421875</v>
      </c>
      <c r="N204" s="68">
        <f t="shared" si="22"/>
        <v>37003.333312988281</v>
      </c>
    </row>
    <row r="205" spans="2:14" ht="92.4" x14ac:dyDescent="0.3">
      <c r="B205" s="61"/>
      <c r="C205" s="63" t="s">
        <v>164</v>
      </c>
      <c r="D205" s="63" t="s">
        <v>165</v>
      </c>
      <c r="E205" s="64">
        <v>18200.87890625</v>
      </c>
      <c r="F205" s="65">
        <v>18200.87890625</v>
      </c>
      <c r="G205" s="66" t="s">
        <v>104</v>
      </c>
      <c r="H205" s="66" t="s">
        <v>105</v>
      </c>
      <c r="I205" s="66" t="s">
        <v>106</v>
      </c>
      <c r="J205" s="66" t="s">
        <v>112</v>
      </c>
      <c r="K205" s="61"/>
      <c r="M205" s="68">
        <f t="shared" si="21"/>
        <v>36401.7578125</v>
      </c>
      <c r="N205" s="68">
        <f t="shared" si="22"/>
        <v>36401.7578125</v>
      </c>
    </row>
    <row r="206" spans="2:14" ht="79.2" x14ac:dyDescent="0.3">
      <c r="B206" s="61"/>
      <c r="C206" s="63" t="s">
        <v>166</v>
      </c>
      <c r="D206" s="63" t="s">
        <v>167</v>
      </c>
      <c r="E206" s="64">
        <v>18296.25390625</v>
      </c>
      <c r="F206" s="65">
        <v>18296.25390625</v>
      </c>
      <c r="G206" s="66" t="s">
        <v>104</v>
      </c>
      <c r="H206" s="66" t="s">
        <v>105</v>
      </c>
      <c r="I206" s="65">
        <v>617.087158203125</v>
      </c>
      <c r="J206" s="66" t="s">
        <v>112</v>
      </c>
      <c r="K206" s="61"/>
      <c r="M206" s="68">
        <f t="shared" si="21"/>
        <v>36592.5078125</v>
      </c>
      <c r="N206" s="68">
        <f t="shared" si="22"/>
        <v>37209.594970703125</v>
      </c>
    </row>
    <row r="207" spans="2:14" ht="105.6" x14ac:dyDescent="0.3">
      <c r="B207" s="61"/>
      <c r="C207" s="63" t="s">
        <v>168</v>
      </c>
      <c r="D207" s="63" t="s">
        <v>169</v>
      </c>
      <c r="E207" s="64">
        <v>18436.146484375</v>
      </c>
      <c r="F207" s="65">
        <v>18436.146484375</v>
      </c>
      <c r="G207" s="66" t="s">
        <v>104</v>
      </c>
      <c r="H207" s="66" t="s">
        <v>105</v>
      </c>
      <c r="I207" s="66" t="s">
        <v>106</v>
      </c>
      <c r="J207" s="66" t="s">
        <v>112</v>
      </c>
      <c r="K207" s="61"/>
      <c r="M207" s="68">
        <f t="shared" si="21"/>
        <v>36872.29296875</v>
      </c>
      <c r="N207" s="68">
        <f t="shared" si="22"/>
        <v>36872.29296875</v>
      </c>
    </row>
    <row r="208" spans="2:14" ht="92.4" x14ac:dyDescent="0.3">
      <c r="B208" s="61"/>
      <c r="C208" s="63" t="s">
        <v>168</v>
      </c>
      <c r="D208" s="63" t="s">
        <v>170</v>
      </c>
      <c r="E208" s="64">
        <v>18436.146484375</v>
      </c>
      <c r="F208" s="65">
        <v>18436.146484375</v>
      </c>
      <c r="G208" s="66" t="s">
        <v>171</v>
      </c>
      <c r="H208" s="66" t="s">
        <v>105</v>
      </c>
      <c r="I208" s="66" t="s">
        <v>106</v>
      </c>
      <c r="J208" s="66" t="s">
        <v>112</v>
      </c>
      <c r="K208" s="61"/>
      <c r="M208" s="68">
        <f t="shared" si="21"/>
        <v>36872.29296875</v>
      </c>
      <c r="N208" s="68">
        <f t="shared" si="22"/>
        <v>36872.29296875</v>
      </c>
    </row>
    <row r="209" spans="2:14" ht="66" x14ac:dyDescent="0.3">
      <c r="B209" s="61"/>
      <c r="C209" s="63" t="s">
        <v>172</v>
      </c>
      <c r="D209" s="63" t="s">
        <v>173</v>
      </c>
      <c r="E209" s="64">
        <v>18493.193359375</v>
      </c>
      <c r="F209" s="65">
        <v>18493.193359375</v>
      </c>
      <c r="G209" s="66" t="s">
        <v>104</v>
      </c>
      <c r="H209" s="66" t="s">
        <v>105</v>
      </c>
      <c r="I209" s="66" t="s">
        <v>106</v>
      </c>
      <c r="J209" s="66" t="s">
        <v>106</v>
      </c>
      <c r="K209" s="61"/>
      <c r="M209" s="68">
        <f t="shared" si="21"/>
        <v>36986.38671875</v>
      </c>
      <c r="N209" s="68">
        <f t="shared" si="22"/>
        <v>36986.38671875</v>
      </c>
    </row>
    <row r="210" spans="2:14" ht="92.4" x14ac:dyDescent="0.3">
      <c r="B210" s="61"/>
      <c r="C210" s="63" t="s">
        <v>164</v>
      </c>
      <c r="D210" s="63" t="s">
        <v>174</v>
      </c>
      <c r="E210" s="64">
        <v>18500.74609375</v>
      </c>
      <c r="F210" s="65">
        <v>18500.74609375</v>
      </c>
      <c r="G210" s="66" t="s">
        <v>104</v>
      </c>
      <c r="H210" s="66" t="s">
        <v>105</v>
      </c>
      <c r="I210" s="66" t="s">
        <v>106</v>
      </c>
      <c r="J210" s="66" t="s">
        <v>112</v>
      </c>
      <c r="K210" s="61"/>
      <c r="M210" s="68">
        <f t="shared" si="21"/>
        <v>37001.4921875</v>
      </c>
      <c r="N210" s="68">
        <f t="shared" si="22"/>
        <v>37001.4921875</v>
      </c>
    </row>
    <row r="211" spans="2:14" ht="66" x14ac:dyDescent="0.3">
      <c r="B211" s="61"/>
      <c r="C211" s="63" t="s">
        <v>175</v>
      </c>
      <c r="D211" s="63" t="s">
        <v>176</v>
      </c>
      <c r="E211" s="64">
        <v>18694.623046875</v>
      </c>
      <c r="F211" s="65">
        <v>18694.623046875</v>
      </c>
      <c r="G211" s="66" t="s">
        <v>104</v>
      </c>
      <c r="H211" s="66" t="s">
        <v>105</v>
      </c>
      <c r="I211" s="66" t="s">
        <v>106</v>
      </c>
      <c r="J211" s="66" t="s">
        <v>112</v>
      </c>
      <c r="K211" s="61"/>
      <c r="M211" s="68">
        <f t="shared" si="21"/>
        <v>37389.24609375</v>
      </c>
      <c r="N211" s="68">
        <f t="shared" si="22"/>
        <v>37389.24609375</v>
      </c>
    </row>
    <row r="212" spans="2:14" ht="92.4" x14ac:dyDescent="0.3">
      <c r="B212" s="61"/>
      <c r="C212" s="63" t="s">
        <v>164</v>
      </c>
      <c r="D212" s="63" t="s">
        <v>177</v>
      </c>
      <c r="E212" s="64">
        <v>18805.91796875</v>
      </c>
      <c r="F212" s="65">
        <v>18805.91796875</v>
      </c>
      <c r="G212" s="66" t="s">
        <v>104</v>
      </c>
      <c r="H212" s="66" t="s">
        <v>105</v>
      </c>
      <c r="I212" s="66" t="s">
        <v>106</v>
      </c>
      <c r="J212" s="66" t="s">
        <v>112</v>
      </c>
      <c r="K212" s="61"/>
      <c r="M212" s="68">
        <f t="shared" si="21"/>
        <v>37611.8359375</v>
      </c>
      <c r="N212" s="68">
        <f t="shared" si="22"/>
        <v>37611.8359375</v>
      </c>
    </row>
    <row r="213" spans="2:14" ht="79.2" x14ac:dyDescent="0.3">
      <c r="B213" s="61"/>
      <c r="C213" s="63" t="s">
        <v>178</v>
      </c>
      <c r="D213" s="63" t="s">
        <v>179</v>
      </c>
      <c r="E213" s="64">
        <v>18893.888671875</v>
      </c>
      <c r="F213" s="65">
        <v>18893.888671875</v>
      </c>
      <c r="G213" s="66" t="s">
        <v>104</v>
      </c>
      <c r="H213" s="66" t="s">
        <v>105</v>
      </c>
      <c r="I213" s="66" t="s">
        <v>106</v>
      </c>
      <c r="J213" s="66" t="s">
        <v>112</v>
      </c>
      <c r="K213" s="61"/>
      <c r="M213" s="68">
        <f t="shared" si="21"/>
        <v>37787.77734375</v>
      </c>
      <c r="N213" s="68">
        <f t="shared" si="22"/>
        <v>37787.77734375</v>
      </c>
    </row>
    <row r="214" spans="2:14" ht="66" x14ac:dyDescent="0.3">
      <c r="B214" s="61"/>
      <c r="C214" s="63" t="s">
        <v>180</v>
      </c>
      <c r="D214" s="63" t="s">
        <v>181</v>
      </c>
      <c r="E214" s="64">
        <v>18982.33984375</v>
      </c>
      <c r="F214" s="65">
        <v>18982.33984375</v>
      </c>
      <c r="G214" s="66" t="s">
        <v>104</v>
      </c>
      <c r="H214" s="66" t="s">
        <v>105</v>
      </c>
      <c r="I214" s="66" t="s">
        <v>106</v>
      </c>
      <c r="J214" s="66" t="s">
        <v>106</v>
      </c>
      <c r="K214" s="61"/>
      <c r="M214" s="68">
        <f t="shared" si="21"/>
        <v>37964.6796875</v>
      </c>
      <c r="N214" s="68">
        <f t="shared" si="22"/>
        <v>37964.6796875</v>
      </c>
    </row>
    <row r="215" spans="2:14" ht="92.4" x14ac:dyDescent="0.3">
      <c r="B215" s="61"/>
      <c r="C215" s="63" t="s">
        <v>164</v>
      </c>
      <c r="D215" s="63" t="s">
        <v>182</v>
      </c>
      <c r="E215" s="64">
        <v>19111.08984375</v>
      </c>
      <c r="F215" s="65">
        <v>19111.08984375</v>
      </c>
      <c r="G215" s="66" t="s">
        <v>104</v>
      </c>
      <c r="H215" s="66" t="s">
        <v>105</v>
      </c>
      <c r="I215" s="66" t="s">
        <v>106</v>
      </c>
      <c r="J215" s="66" t="s">
        <v>112</v>
      </c>
      <c r="K215" s="61"/>
      <c r="M215" s="68">
        <f t="shared" si="21"/>
        <v>38222.1796875</v>
      </c>
      <c r="N215" s="68">
        <f t="shared" si="22"/>
        <v>38222.1796875</v>
      </c>
    </row>
    <row r="216" spans="2:14" ht="66" x14ac:dyDescent="0.3">
      <c r="B216" s="61"/>
      <c r="C216" s="63" t="s">
        <v>183</v>
      </c>
      <c r="D216" s="63" t="s">
        <v>184</v>
      </c>
      <c r="E216" s="64">
        <v>19266.25</v>
      </c>
      <c r="F216" s="65">
        <v>19266.25</v>
      </c>
      <c r="G216" s="66" t="s">
        <v>104</v>
      </c>
      <c r="H216" s="66" t="s">
        <v>105</v>
      </c>
      <c r="I216" s="66" t="s">
        <v>106</v>
      </c>
      <c r="J216" s="66" t="s">
        <v>106</v>
      </c>
      <c r="K216" s="61"/>
      <c r="M216" s="68">
        <f t="shared" si="21"/>
        <v>38532.5</v>
      </c>
      <c r="N216" s="68">
        <f t="shared" si="22"/>
        <v>38532.5</v>
      </c>
    </row>
    <row r="217" spans="2:14" ht="66" x14ac:dyDescent="0.3">
      <c r="B217" s="61"/>
      <c r="C217" s="63" t="s">
        <v>185</v>
      </c>
      <c r="D217" s="63" t="s">
        <v>186</v>
      </c>
      <c r="E217" s="64">
        <v>19431.2578125</v>
      </c>
      <c r="F217" s="65">
        <v>19431.2578125</v>
      </c>
      <c r="G217" s="66" t="s">
        <v>104</v>
      </c>
      <c r="H217" s="66" t="s">
        <v>105</v>
      </c>
      <c r="I217" s="66" t="s">
        <v>106</v>
      </c>
      <c r="J217" s="66" t="s">
        <v>106</v>
      </c>
      <c r="K217" s="61"/>
      <c r="M217" s="68">
        <f t="shared" si="21"/>
        <v>38862.515625</v>
      </c>
      <c r="N217" s="68">
        <f t="shared" si="22"/>
        <v>38862.515625</v>
      </c>
    </row>
    <row r="218" spans="2:14" ht="66" x14ac:dyDescent="0.3">
      <c r="B218" s="61"/>
      <c r="C218" s="63" t="s">
        <v>187</v>
      </c>
      <c r="D218" s="63" t="s">
        <v>188</v>
      </c>
      <c r="E218" s="64">
        <v>19885.380859375</v>
      </c>
      <c r="F218" s="65">
        <v>18682.5</v>
      </c>
      <c r="G218" s="66" t="s">
        <v>104</v>
      </c>
      <c r="H218" s="66" t="s">
        <v>105</v>
      </c>
      <c r="I218" s="66" t="s">
        <v>106</v>
      </c>
      <c r="J218" s="66" t="s">
        <v>112</v>
      </c>
      <c r="K218" s="61"/>
      <c r="M218" s="68">
        <f t="shared" si="21"/>
        <v>38567.880859375</v>
      </c>
      <c r="N218" s="68">
        <f t="shared" si="22"/>
        <v>38567.880859375</v>
      </c>
    </row>
    <row r="219" spans="2:14" ht="66" x14ac:dyDescent="0.3">
      <c r="B219" s="61"/>
      <c r="C219" s="63" t="s">
        <v>189</v>
      </c>
      <c r="D219" s="63" t="s">
        <v>190</v>
      </c>
      <c r="E219" s="64">
        <v>19904.814453125</v>
      </c>
      <c r="F219" s="65">
        <v>19904.814453125</v>
      </c>
      <c r="G219" s="66" t="s">
        <v>104</v>
      </c>
      <c r="H219" s="66" t="s">
        <v>105</v>
      </c>
      <c r="I219" s="66" t="s">
        <v>106</v>
      </c>
      <c r="J219" s="66" t="s">
        <v>106</v>
      </c>
      <c r="K219" s="61"/>
      <c r="M219" s="68">
        <f t="shared" si="21"/>
        <v>39809.62890625</v>
      </c>
      <c r="N219" s="68">
        <f t="shared" si="22"/>
        <v>39809.62890625</v>
      </c>
    </row>
    <row r="220" spans="2:14" ht="79.2" x14ac:dyDescent="0.3">
      <c r="B220" s="61"/>
      <c r="C220" s="63" t="s">
        <v>191</v>
      </c>
      <c r="D220" s="63" t="s">
        <v>192</v>
      </c>
      <c r="E220" s="64">
        <v>20154.89453125</v>
      </c>
      <c r="F220" s="65">
        <v>20154.89453125</v>
      </c>
      <c r="G220" s="66" t="s">
        <v>119</v>
      </c>
      <c r="H220" s="66" t="s">
        <v>105</v>
      </c>
      <c r="I220" s="66" t="s">
        <v>106</v>
      </c>
      <c r="J220" s="66" t="s">
        <v>112</v>
      </c>
      <c r="K220" s="61"/>
      <c r="M220" s="68">
        <f t="shared" si="21"/>
        <v>40309.7890625</v>
      </c>
      <c r="N220" s="68">
        <f t="shared" si="22"/>
        <v>40309.7890625</v>
      </c>
    </row>
    <row r="221" spans="2:14" ht="66" x14ac:dyDescent="0.3">
      <c r="B221" s="61"/>
      <c r="C221" s="63" t="s">
        <v>193</v>
      </c>
      <c r="D221" s="63" t="s">
        <v>116</v>
      </c>
      <c r="E221" s="64">
        <v>20331.802734375</v>
      </c>
      <c r="F221" s="65">
        <v>21398.7421875</v>
      </c>
      <c r="G221" s="66" t="s">
        <v>104</v>
      </c>
      <c r="H221" s="66" t="s">
        <v>105</v>
      </c>
      <c r="I221" s="66" t="s">
        <v>106</v>
      </c>
      <c r="J221" s="66" t="s">
        <v>106</v>
      </c>
      <c r="K221" s="61"/>
      <c r="M221" s="68">
        <f t="shared" si="21"/>
        <v>41730.544921875</v>
      </c>
      <c r="N221" s="68">
        <f t="shared" si="22"/>
        <v>41730.544921875</v>
      </c>
    </row>
    <row r="222" spans="2:14" ht="66" x14ac:dyDescent="0.3">
      <c r="B222" s="61"/>
      <c r="C222" s="63" t="s">
        <v>194</v>
      </c>
      <c r="D222" s="63" t="s">
        <v>195</v>
      </c>
      <c r="E222" s="64">
        <v>20341.447265625</v>
      </c>
      <c r="F222" s="65">
        <v>20341.447265625</v>
      </c>
      <c r="G222" s="66" t="s">
        <v>104</v>
      </c>
      <c r="H222" s="66" t="s">
        <v>105</v>
      </c>
      <c r="I222" s="66" t="s">
        <v>106</v>
      </c>
      <c r="J222" s="66" t="s">
        <v>106</v>
      </c>
      <c r="K222" s="61"/>
      <c r="M222" s="68">
        <f t="shared" si="21"/>
        <v>40682.89453125</v>
      </c>
      <c r="N222" s="68">
        <f t="shared" si="22"/>
        <v>40682.89453125</v>
      </c>
    </row>
    <row r="223" spans="2:14" ht="66" x14ac:dyDescent="0.3">
      <c r="B223" s="61"/>
      <c r="C223" s="63" t="s">
        <v>196</v>
      </c>
      <c r="D223" s="63" t="s">
        <v>197</v>
      </c>
      <c r="E223" s="64">
        <v>20592.251953125</v>
      </c>
      <c r="F223" s="65">
        <v>20592.251953125</v>
      </c>
      <c r="G223" s="66" t="s">
        <v>104</v>
      </c>
      <c r="H223" s="66" t="s">
        <v>105</v>
      </c>
      <c r="I223" s="66" t="s">
        <v>106</v>
      </c>
      <c r="J223" s="66" t="s">
        <v>106</v>
      </c>
      <c r="K223" s="61"/>
      <c r="M223" s="68">
        <f t="shared" si="21"/>
        <v>41184.50390625</v>
      </c>
      <c r="N223" s="68">
        <f t="shared" si="22"/>
        <v>41184.50390625</v>
      </c>
    </row>
    <row r="224" spans="2:14" ht="66" x14ac:dyDescent="0.3">
      <c r="B224" s="61"/>
      <c r="C224" s="63" t="s">
        <v>198</v>
      </c>
      <c r="D224" s="63" t="s">
        <v>199</v>
      </c>
      <c r="E224" s="64">
        <v>23103.95703125</v>
      </c>
      <c r="F224" s="65">
        <v>23103.95703125</v>
      </c>
      <c r="G224" s="66" t="s">
        <v>104</v>
      </c>
      <c r="H224" s="66" t="s">
        <v>105</v>
      </c>
      <c r="I224" s="66" t="s">
        <v>106</v>
      </c>
      <c r="J224" s="66" t="s">
        <v>106</v>
      </c>
      <c r="K224" s="61"/>
      <c r="M224" s="68">
        <f t="shared" si="21"/>
        <v>46207.9140625</v>
      </c>
      <c r="N224" s="68">
        <f t="shared" si="22"/>
        <v>46207.9140625</v>
      </c>
    </row>
    <row r="225" spans="2:14" ht="79.2" x14ac:dyDescent="0.3">
      <c r="B225" s="61"/>
      <c r="C225" s="63" t="s">
        <v>117</v>
      </c>
      <c r="D225" s="63" t="s">
        <v>200</v>
      </c>
      <c r="E225" s="64">
        <v>38948.4609375</v>
      </c>
      <c r="F225" s="65">
        <v>16353.185546875</v>
      </c>
      <c r="G225" s="66" t="s">
        <v>119</v>
      </c>
      <c r="H225" s="66" t="s">
        <v>105</v>
      </c>
      <c r="I225" s="65">
        <v>1515.38427734375</v>
      </c>
      <c r="J225" s="66" t="s">
        <v>106</v>
      </c>
      <c r="K225" s="61"/>
      <c r="M225" s="68">
        <f t="shared" si="21"/>
        <v>55301.646484375</v>
      </c>
      <c r="N225" s="68">
        <f t="shared" si="22"/>
        <v>56817.03076171875</v>
      </c>
    </row>
  </sheetData>
  <mergeCells count="24">
    <mergeCell ref="Z102:AB102"/>
    <mergeCell ref="AD102:AF102"/>
    <mergeCell ref="Z119:AB119"/>
    <mergeCell ref="AD119:AF119"/>
    <mergeCell ref="C91:D91"/>
    <mergeCell ref="C92:D92"/>
    <mergeCell ref="AD67:AF67"/>
    <mergeCell ref="Z85:AB85"/>
    <mergeCell ref="AD85:AF85"/>
    <mergeCell ref="V62:W62"/>
    <mergeCell ref="X62:AA62"/>
    <mergeCell ref="Z67:AB67"/>
    <mergeCell ref="C90:D90"/>
    <mergeCell ref="V63:W63"/>
    <mergeCell ref="X63:AA63"/>
    <mergeCell ref="V64:W64"/>
    <mergeCell ref="X64:AA64"/>
    <mergeCell ref="L17:M17"/>
    <mergeCell ref="N17:T17"/>
    <mergeCell ref="U17:U18"/>
    <mergeCell ref="L62:M62"/>
    <mergeCell ref="N62:S62"/>
    <mergeCell ref="N77:P77"/>
    <mergeCell ref="L77:M7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2020-10-24T13:48:26Z</dcterms:modified>
</cp:coreProperties>
</file>